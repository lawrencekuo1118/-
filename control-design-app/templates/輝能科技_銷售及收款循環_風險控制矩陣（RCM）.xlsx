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showInkAnnotation="0" codeName="ThisWorkbook" hidePivotFieldList="1" defaultThemeVersion="124226"/>
  <xr:revisionPtr revIDLastSave="3" documentId="13_ncr:1_{432C3DF6-F5BD-474C-9FCD-D8DFADA24E75}" xr6:coauthVersionLast="47" xr6:coauthVersionMax="47" xr10:uidLastSave="{51655347-275E-47C5-A060-4967F8A3F0E7}"/>
  <bookViews>
    <workbookView xWindow="-108" yWindow="-108" windowWidth="23256" windowHeight="13896" tabRatio="547" activeTab="2" xr2:uid="{00000000-000D-0000-FFFF-FFFF00000000}"/>
  </bookViews>
  <sheets>
    <sheet name="封面" sheetId="10" r:id="rId1"/>
    <sheet name="文件資訊" sheetId="11" r:id="rId2"/>
    <sheet name="RCM_銷售及收款循環" sheetId="3" r:id="rId3"/>
  </sheets>
  <externalReferences>
    <externalReference r:id="rId4"/>
    <externalReference r:id="rId5"/>
    <externalReference r:id="rId6"/>
  </externalReferences>
  <definedNames>
    <definedName name="\a">'[1]FA-LISTING'!#REF!</definedName>
    <definedName name="\p">'[1]FA-LISTING'!#REF!</definedName>
    <definedName name="__DemandLoad">TRUE</definedName>
    <definedName name="_EMS753">#REF!</definedName>
    <definedName name="_xlnm._FilterDatabase" localSheetId="2" hidden="1">RCM_銷售及收款循環!$A$2:$AK$75</definedName>
    <definedName name="aaa">#REF!</definedName>
    <definedName name="AS2DocOpenMode" hidden="1">"AS2DocumentEdit"</definedName>
    <definedName name="BIGPRINT">#REF!</definedName>
    <definedName name="Blatt1">#REF!</definedName>
    <definedName name="Blatt11">#REF!</definedName>
    <definedName name="Blatt12">#REF!</definedName>
    <definedName name="Blatt13">#REF!</definedName>
    <definedName name="Blatt3">#REF!</definedName>
    <definedName name="BLDG">'[1]FA-LISTING'!#REF!</definedName>
    <definedName name="BLDGIMP">'[1]FA-LISTING'!#REF!</definedName>
    <definedName name="BLDGREV">'[1]FA-LISTING'!#REF!</definedName>
    <definedName name="COMP">'[1]FA-LISTING'!#REF!</definedName>
    <definedName name="copy_aaa">#REF!</definedName>
    <definedName name="copy_reviewers">#REF!</definedName>
    <definedName name="copy_reviewers2">#REF!</definedName>
    <definedName name="DDA">#REF!</definedName>
    <definedName name="ddImpact">[2]!loRisk[Impact]</definedName>
    <definedName name="DODA">#REF!</definedName>
    <definedName name="DPT">#REF!</definedName>
    <definedName name="DSA">#REF!</definedName>
    <definedName name="END">#REF!</definedName>
    <definedName name="FF">'[1]FA-LISTING'!#REF!</definedName>
    <definedName name="Folgeseiten">#REF!</definedName>
    <definedName name="FORK">'[1]FA-LISTING'!#REF!</definedName>
    <definedName name="LANDIMP">'[1]FA-LISTING'!#REF!</definedName>
    <definedName name="LANDREV">'[1]FA-LISTING'!#REF!</definedName>
    <definedName name="MgmtRevMaxSc">#REF!</definedName>
    <definedName name="MgmtRevSc">#REF!</definedName>
    <definedName name="MV">'[1]FA-LISTING'!#REF!</definedName>
    <definedName name="OE">'[1]FA-LISTING'!#REF!</definedName>
    <definedName name="P">#REF!</definedName>
    <definedName name="P_M">'[1]FA-LISTING'!#REF!</definedName>
    <definedName name="_xlnm.Print_Area" localSheetId="1">文件資訊!$A$2:$G$28</definedName>
    <definedName name="_xlnm.Print_Area" localSheetId="0">封面!$A$1:$M$22</definedName>
    <definedName name="_xlnm.Print_Area">#REF!</definedName>
    <definedName name="reviewers">#REF!</definedName>
    <definedName name="reviewers2">#REF!</definedName>
    <definedName name="SYS320N">#REF!</definedName>
    <definedName name="SYS320SLI">#REF!</definedName>
    <definedName name="SYS325P">#REF!</definedName>
    <definedName name="SYS325SX">#REF!</definedName>
    <definedName name="SYS333SL">#REF!</definedName>
    <definedName name="SYS420DE">#REF!</definedName>
    <definedName name="SYS420SE">#REF!</definedName>
    <definedName name="SYS466DSA">#REF!</definedName>
    <definedName name="SYS486D">#REF!</definedName>
    <definedName name="SYS486L">#REF!</definedName>
    <definedName name="SYS486M">#REF!</definedName>
    <definedName name="SYS486ME">#REF!</definedName>
    <definedName name="SYS486P">#REF!</definedName>
    <definedName name="SYS486T">#REF!</definedName>
    <definedName name="SYSDGX">#REF!</definedName>
    <definedName name="SYSEMS753">#REF!</definedName>
    <definedName name="SYSNL25">#REF!</definedName>
    <definedName name="TBOPN">[3]Sheet2!$A$2:$A$113</definedName>
    <definedName name="TBORANGE">[3]Sheet2!$A$2:$G$113</definedName>
    <definedName name="查詢1">#REF!</definedName>
    <definedName name="最終リレー集計">#REF!</definedName>
  </definedNames>
  <calcPr calcId="162913"/>
</workbook>
</file>

<file path=xl/calcChain.xml><?xml version="1.0" encoding="utf-8"?>
<calcChain xmlns="http://schemas.openxmlformats.org/spreadsheetml/2006/main">
  <c r="D16" i="10" l="1"/>
  <c r="C13" i="10"/>
</calcChain>
</file>

<file path=xl/sharedStrings.xml><?xml version="1.0" encoding="utf-8"?>
<sst xmlns="http://schemas.openxmlformats.org/spreadsheetml/2006/main" count="2058" uniqueCount="564">
  <si>
    <t>CS</t>
    <phoneticPr fontId="3" type="noConversion"/>
  </si>
  <si>
    <t>NA</t>
    <phoneticPr fontId="5" type="noConversion"/>
  </si>
  <si>
    <r>
      <rPr>
        <b/>
        <sz val="12"/>
        <rFont val="微軟正黑體"/>
        <family val="2"/>
        <charset val="136"/>
      </rPr>
      <t>控制目標</t>
    </r>
    <phoneticPr fontId="3" type="noConversion"/>
  </si>
  <si>
    <r>
      <rPr>
        <sz val="12"/>
        <rFont val="微軟正黑體"/>
        <family val="2"/>
        <charset val="136"/>
      </rPr>
      <t>人工</t>
    </r>
    <phoneticPr fontId="2" type="noConversion"/>
  </si>
  <si>
    <r>
      <rPr>
        <sz val="12"/>
        <rFont val="微軟正黑體"/>
        <family val="2"/>
        <charset val="136"/>
      </rPr>
      <t>預防性控制</t>
    </r>
    <phoneticPr fontId="2" type="noConversion"/>
  </si>
  <si>
    <r>
      <rPr>
        <sz val="12"/>
        <rFont val="微軟正黑體"/>
        <family val="2"/>
        <charset val="136"/>
      </rPr>
      <t>年度銷售計劃的訂定應考量銷售預測資料及相關策略及計畫，並經權責主管核准。</t>
    </r>
    <phoneticPr fontId="2" type="noConversion"/>
  </si>
  <si>
    <r>
      <rPr>
        <sz val="12"/>
        <rFont val="微軟正黑體"/>
        <family val="2"/>
        <charset val="136"/>
      </rPr>
      <t>報價作業</t>
    </r>
    <phoneticPr fontId="3" type="noConversion"/>
  </si>
  <si>
    <r>
      <rPr>
        <sz val="12"/>
        <rFont val="微軟正黑體"/>
        <family val="2"/>
        <charset val="136"/>
      </rPr>
      <t>對外報價資訊應統一由權責人員控管，並經權責主管核准後，始得提交予客戶。</t>
    </r>
    <phoneticPr fontId="2" type="noConversion"/>
  </si>
  <si>
    <r>
      <rPr>
        <sz val="12"/>
        <rFont val="微軟正黑體"/>
        <family val="2"/>
        <charset val="136"/>
      </rPr>
      <t>對外報價價格被正確控管</t>
    </r>
    <phoneticPr fontId="3" type="noConversion"/>
  </si>
  <si>
    <r>
      <rPr>
        <sz val="12"/>
        <rFont val="微軟正黑體"/>
        <family val="2"/>
        <charset val="136"/>
      </rPr>
      <t>僅有有效的異動才會更新價格主檔</t>
    </r>
    <phoneticPr fontId="3" type="noConversion"/>
  </si>
  <si>
    <r>
      <rPr>
        <sz val="12"/>
        <rFont val="微軟正黑體"/>
        <family val="2"/>
        <charset val="136"/>
      </rPr>
      <t>客戶資料管理作業</t>
    </r>
    <phoneticPr fontId="2" type="noConversion"/>
  </si>
  <si>
    <r>
      <rPr>
        <sz val="12"/>
        <rFont val="微軟正黑體"/>
        <family val="2"/>
        <charset val="136"/>
      </rPr>
      <t>修改客戶主檔應經適當授權並驗證其正確性及持續有效性。</t>
    </r>
  </si>
  <si>
    <r>
      <rPr>
        <sz val="12"/>
        <rFont val="微軟正黑體"/>
        <family val="2"/>
        <charset val="136"/>
      </rPr>
      <t>客戶主檔異動申請應建立書面記錄，以便權責主管覆核客戶主檔異動之正確性，並由獨立第三人核對系統更正資料之完整性及正確性，相關軌跡應完整留存。</t>
    </r>
    <phoneticPr fontId="3" type="noConversion"/>
  </si>
  <si>
    <r>
      <rPr>
        <sz val="12"/>
        <rFont val="微軟正黑體"/>
        <family val="2"/>
        <charset val="136"/>
      </rPr>
      <t>應正確且即時的處理客戶主檔之修改申請。</t>
    </r>
  </si>
  <si>
    <r>
      <rPr>
        <sz val="12"/>
        <rFont val="微軟正黑體"/>
        <family val="2"/>
        <charset val="136"/>
      </rPr>
      <t>處理客戶訂單前應先確認其是否已建立信用額度或信用額度是否足夠。</t>
    </r>
  </si>
  <si>
    <r>
      <rPr>
        <sz val="12"/>
        <rFont val="微軟正黑體"/>
        <family val="2"/>
        <charset val="136"/>
      </rPr>
      <t>訂單處理作業</t>
    </r>
  </si>
  <si>
    <r>
      <rPr>
        <sz val="12"/>
        <rFont val="微軟正黑體"/>
        <family val="2"/>
        <charset val="136"/>
      </rPr>
      <t>接受訂單應經權責主管核准單價及交易條件，且所有經過核准之訂單始可輸入系統並處理。</t>
    </r>
  </si>
  <si>
    <r>
      <rPr>
        <sz val="12"/>
        <rFont val="微軟正黑體"/>
        <family val="2"/>
        <charset val="136"/>
      </rPr>
      <t>所有自客戶接獲之訂單應輸入系統並處理。</t>
    </r>
  </si>
  <si>
    <r>
      <rPr>
        <sz val="12"/>
        <rFont val="微軟正黑體"/>
        <family val="2"/>
        <charset val="136"/>
      </rPr>
      <t>接受訂單及取消訂單輸入應正確。</t>
    </r>
  </si>
  <si>
    <r>
      <rPr>
        <sz val="12"/>
        <rFont val="微軟正黑體"/>
        <family val="2"/>
        <charset val="136"/>
      </rPr>
      <t>自動</t>
    </r>
    <phoneticPr fontId="3" type="noConversion"/>
  </si>
  <si>
    <r>
      <rPr>
        <sz val="12"/>
        <rFont val="微軟正黑體"/>
        <family val="2"/>
        <charset val="136"/>
      </rPr>
      <t>發票上所記載之交易條件及單價應取得適當授權，且經正確計算及記錄。</t>
    </r>
  </si>
  <si>
    <r>
      <rPr>
        <sz val="12"/>
        <rFont val="微軟正黑體"/>
        <family val="2"/>
        <charset val="136"/>
      </rPr>
      <t>所有運交客戶之貨品皆應開立發票。</t>
    </r>
  </si>
  <si>
    <r>
      <rPr>
        <sz val="12"/>
        <rFont val="微軟正黑體"/>
        <family val="2"/>
        <charset val="136"/>
      </rPr>
      <t>所有已開立之發票皆經紀錄。</t>
    </r>
  </si>
  <si>
    <r>
      <rPr>
        <sz val="12"/>
        <rFont val="微軟正黑體"/>
        <family val="2"/>
        <charset val="136"/>
      </rPr>
      <t>銷售及收款</t>
    </r>
  </si>
  <si>
    <r>
      <rPr>
        <sz val="12"/>
        <rFont val="微軟正黑體"/>
        <family val="2"/>
        <charset val="136"/>
      </rPr>
      <t>開立銷貨發票作業</t>
    </r>
  </si>
  <si>
    <r>
      <rPr>
        <sz val="12"/>
        <rFont val="微軟正黑體"/>
        <family val="2"/>
        <charset val="136"/>
      </rPr>
      <t>發票資訊異動皆經適當授權</t>
    </r>
  </si>
  <si>
    <r>
      <rPr>
        <sz val="12"/>
        <rFont val="微軟正黑體"/>
        <family val="2"/>
        <charset val="136"/>
      </rPr>
      <t>人工</t>
    </r>
  </si>
  <si>
    <r>
      <rPr>
        <sz val="12"/>
        <rFont val="微軟正黑體"/>
        <family val="2"/>
        <charset val="136"/>
      </rPr>
      <t>預防性控制</t>
    </r>
  </si>
  <si>
    <r>
      <rPr>
        <sz val="12"/>
        <rFont val="微軟正黑體"/>
        <family val="2"/>
        <charset val="136"/>
      </rPr>
      <t>應收帳款需能反映公司當前所面臨之商業環境及經濟狀況，並採用合適之會計政策。</t>
    </r>
  </si>
  <si>
    <r>
      <rPr>
        <sz val="12"/>
        <rFont val="微軟正黑體"/>
        <family val="2"/>
        <charset val="136"/>
      </rPr>
      <t>應依據事前合約設定及事後實際交易條件計算現金折讓金額。</t>
    </r>
    <phoneticPr fontId="2" type="noConversion"/>
  </si>
  <si>
    <r>
      <rPr>
        <sz val="12"/>
        <rFont val="微軟正黑體"/>
        <family val="2"/>
        <charset val="136"/>
      </rPr>
      <t>所有收款皆應輸入系統處理，並正確記錄於適當之會計期間。</t>
    </r>
  </si>
  <si>
    <r>
      <rPr>
        <sz val="12"/>
        <rFont val="微軟正黑體"/>
        <family val="2"/>
        <charset val="136"/>
      </rPr>
      <t>給與客戶銷貨折讓應符合公司之既定政策。</t>
    </r>
  </si>
  <si>
    <r>
      <rPr>
        <sz val="12"/>
        <rFont val="微軟正黑體"/>
        <family val="2"/>
        <charset val="136"/>
      </rPr>
      <t>所有已開立發票皆應記錄於適當之會計期間。</t>
    </r>
  </si>
  <si>
    <r>
      <rPr>
        <sz val="12"/>
        <rFont val="微軟正黑體"/>
        <family val="2"/>
        <charset val="136"/>
      </rPr>
      <t>應完整保存客戶抱怨處理資料、分析資料及改善報告，以作為未來改善之參考依據。</t>
    </r>
    <phoneticPr fontId="2" type="noConversion"/>
  </si>
  <si>
    <r>
      <rPr>
        <sz val="12"/>
        <rFont val="微軟正黑體"/>
        <family val="2"/>
        <charset val="136"/>
      </rPr>
      <t>所有銷貨皆應正確記錄於適當會計科目</t>
    </r>
    <phoneticPr fontId="2" type="noConversion"/>
  </si>
  <si>
    <r>
      <rPr>
        <sz val="12"/>
        <rFont val="微軟正黑體"/>
        <family val="2"/>
        <charset val="136"/>
      </rPr>
      <t>應收帳款之貸方金額應正確且合理</t>
    </r>
    <phoneticPr fontId="3" type="noConversion"/>
  </si>
  <si>
    <r>
      <rPr>
        <sz val="12"/>
        <rFont val="微軟正黑體"/>
        <family val="2"/>
        <charset val="136"/>
      </rPr>
      <t>產品銷毀皆符合公司辦法及程序</t>
    </r>
    <phoneticPr fontId="2" type="noConversion"/>
  </si>
  <si>
    <r>
      <rPr>
        <sz val="12"/>
        <rFont val="微軟正黑體"/>
        <family val="2"/>
        <charset val="136"/>
      </rPr>
      <t>貨品退貨需符合退貨標準</t>
    </r>
    <phoneticPr fontId="2" type="noConversion"/>
  </si>
  <si>
    <r>
      <rPr>
        <sz val="12"/>
        <rFont val="微軟正黑體"/>
        <family val="2"/>
        <charset val="136"/>
      </rPr>
      <t>銷售及收款</t>
    </r>
    <phoneticPr fontId="2" type="noConversion"/>
  </si>
  <si>
    <r>
      <rPr>
        <sz val="12"/>
        <rFont val="微軟正黑體"/>
        <family val="2"/>
        <charset val="136"/>
      </rPr>
      <t>銷貨預測被正確地計算及記錄</t>
    </r>
    <phoneticPr fontId="3" type="noConversion"/>
  </si>
  <si>
    <r>
      <rPr>
        <sz val="12"/>
        <rFont val="微軟正黑體"/>
        <family val="2"/>
        <charset val="136"/>
      </rPr>
      <t>權責主管應定期檢查客戶主檔之明細，以確認其客戶主檔仍屬有效及正確。</t>
    </r>
    <phoneticPr fontId="2" type="noConversion"/>
  </si>
  <si>
    <r>
      <rPr>
        <sz val="12"/>
        <rFont val="微軟正黑體"/>
        <family val="2"/>
        <charset val="136"/>
      </rPr>
      <t>針對於長期未下單或確定不再交易之客戶，應申請凍結客戶主檔並由權責主管核准。</t>
    </r>
    <phoneticPr fontId="2" type="noConversion"/>
  </si>
  <si>
    <r>
      <rPr>
        <sz val="12"/>
        <rFont val="微軟正黑體"/>
        <family val="2"/>
        <charset val="136"/>
      </rPr>
      <t>客戶信用管理作業</t>
    </r>
    <phoneticPr fontId="2" type="noConversion"/>
  </si>
  <si>
    <r>
      <rPr>
        <sz val="12"/>
        <rFont val="微軟正黑體"/>
        <family val="2"/>
        <charset val="136"/>
      </rPr>
      <t>自動</t>
    </r>
    <phoneticPr fontId="2" type="noConversion"/>
  </si>
  <si>
    <r>
      <rPr>
        <sz val="12"/>
        <rFont val="微軟正黑體"/>
        <family val="2"/>
        <charset val="136"/>
      </rPr>
      <t>信用額度應定期評估。</t>
    </r>
    <phoneticPr fontId="2" type="noConversion"/>
  </si>
  <si>
    <r>
      <rPr>
        <sz val="12"/>
        <rFont val="微軟正黑體"/>
        <family val="2"/>
        <charset val="136"/>
      </rPr>
      <t>針對已接近或超過信用額度上限之客戶，系統應能辨別且發出警訊。</t>
    </r>
    <phoneticPr fontId="2" type="noConversion"/>
  </si>
  <si>
    <r>
      <rPr>
        <sz val="12"/>
        <rFont val="微軟正黑體"/>
        <family val="2"/>
        <charset val="136"/>
      </rPr>
      <t>已被限制交易之客戶應經權責主管核准後，始得以放行訂單。</t>
    </r>
    <phoneticPr fontId="2" type="noConversion"/>
  </si>
  <si>
    <r>
      <rPr>
        <sz val="12"/>
        <rFont val="微軟正黑體"/>
        <family val="2"/>
        <charset val="136"/>
      </rPr>
      <t>所有自客戶接獲之訂單應正確輸入系統。</t>
    </r>
    <phoneticPr fontId="3" type="noConversion"/>
  </si>
  <si>
    <r>
      <rPr>
        <sz val="12"/>
        <rFont val="微軟正黑體"/>
        <family val="2"/>
        <charset val="136"/>
      </rPr>
      <t>自動／人工</t>
    </r>
    <phoneticPr fontId="2" type="noConversion"/>
  </si>
  <si>
    <r>
      <rPr>
        <sz val="12"/>
        <rFont val="微軟正黑體"/>
        <family val="2"/>
        <charset val="136"/>
      </rPr>
      <t>交貨或提供勞務作業</t>
    </r>
    <phoneticPr fontId="2" type="noConversion"/>
  </si>
  <si>
    <r>
      <rPr>
        <sz val="12"/>
        <rFont val="微軟正黑體"/>
        <family val="2"/>
        <charset val="136"/>
      </rPr>
      <t>貨物交付均取得合法外部憑證</t>
    </r>
    <phoneticPr fontId="2" type="noConversion"/>
  </si>
  <si>
    <r>
      <rPr>
        <sz val="12"/>
        <rFont val="微軟正黑體"/>
        <family val="2"/>
        <charset val="136"/>
      </rPr>
      <t>所有貨品及勞務交易資訊皆應記錄於系統</t>
    </r>
    <phoneticPr fontId="2" type="noConversion"/>
  </si>
  <si>
    <r>
      <rPr>
        <sz val="12"/>
        <rFont val="微軟正黑體"/>
        <family val="2"/>
        <charset val="136"/>
      </rPr>
      <t>執行業務符合法令規範之要求</t>
    </r>
    <phoneticPr fontId="2" type="noConversion"/>
  </si>
  <si>
    <r>
      <rPr>
        <sz val="12"/>
        <rFont val="微軟正黑體"/>
        <family val="2"/>
        <charset val="136"/>
      </rPr>
      <t>公司輸出入貨品時，應依據相關法規備妥申請文件，送主管機關取得核可。</t>
    </r>
    <phoneticPr fontId="2" type="noConversion"/>
  </si>
  <si>
    <r>
      <rPr>
        <sz val="12"/>
        <rFont val="微軟正黑體"/>
        <family val="2"/>
        <charset val="136"/>
      </rPr>
      <t>開立銷貨發票作業</t>
    </r>
    <phoneticPr fontId="2" type="noConversion"/>
  </si>
  <si>
    <r>
      <rPr>
        <sz val="12"/>
        <rFont val="微軟正黑體"/>
        <family val="2"/>
        <charset val="136"/>
      </rPr>
      <t>發票開立均經過主管核准及確認正確性</t>
    </r>
    <phoneticPr fontId="2" type="noConversion"/>
  </si>
  <si>
    <r>
      <rPr>
        <sz val="12"/>
        <rFont val="微軟正黑體"/>
        <family val="2"/>
        <charset val="136"/>
      </rPr>
      <t>所有已開立發票皆應記錄於適當之會計期間。</t>
    </r>
    <phoneticPr fontId="2" type="noConversion"/>
  </si>
  <si>
    <r>
      <rPr>
        <sz val="12"/>
        <rFont val="微軟正黑體"/>
        <family val="2"/>
        <charset val="136"/>
      </rPr>
      <t>應收帳款與銷貨收入認列及管理作業</t>
    </r>
    <phoneticPr fontId="2" type="noConversion"/>
  </si>
  <si>
    <r>
      <rPr>
        <sz val="12"/>
        <rFont val="微軟正黑體"/>
        <family val="2"/>
        <charset val="136"/>
      </rPr>
      <t>所有收款皆應輸入系統處理，並正確記錄於適當之會計期間。</t>
    </r>
    <phoneticPr fontId="2" type="noConversion"/>
  </si>
  <si>
    <r>
      <rPr>
        <sz val="12"/>
        <rFont val="微軟正黑體"/>
        <family val="2"/>
        <charset val="136"/>
      </rPr>
      <t>權責主管應定期監督客戶是否依據協議之付款條件即時付款。</t>
    </r>
    <phoneticPr fontId="3" type="noConversion"/>
  </si>
  <si>
    <r>
      <rPr>
        <sz val="12"/>
        <rFont val="微軟正黑體"/>
        <family val="2"/>
        <charset val="136"/>
      </rPr>
      <t>無法收回之帳款之備抵呆帳沖銷應有相關證明，且經權責主管核准。</t>
    </r>
    <phoneticPr fontId="3" type="noConversion"/>
  </si>
  <si>
    <r>
      <rPr>
        <sz val="12"/>
        <rFont val="微軟正黑體"/>
        <family val="2"/>
        <charset val="136"/>
      </rPr>
      <t>收款作業</t>
    </r>
    <phoneticPr fontId="2" type="noConversion"/>
  </si>
  <si>
    <r>
      <rPr>
        <sz val="12"/>
        <rFont val="微軟正黑體"/>
        <family val="2"/>
        <charset val="136"/>
      </rPr>
      <t>票據業務皆應依照公司管理辦法執行</t>
    </r>
    <phoneticPr fontId="2" type="noConversion"/>
  </si>
  <si>
    <r>
      <rPr>
        <sz val="12"/>
        <rFont val="微軟正黑體"/>
        <family val="2"/>
        <charset val="136"/>
      </rPr>
      <t>收受票據應依據票據之管理辦法執行。</t>
    </r>
    <phoneticPr fontId="2" type="noConversion"/>
  </si>
  <si>
    <r>
      <rPr>
        <sz val="12"/>
        <rFont val="微軟正黑體"/>
        <family val="2"/>
        <charset val="136"/>
      </rPr>
      <t>權責主管應注意所有接近結帳日之收款，以確保記錄係歸屬於適當之會計期間。</t>
    </r>
    <phoneticPr fontId="2" type="noConversion"/>
  </si>
  <si>
    <r>
      <rPr>
        <sz val="12"/>
        <rFont val="微軟正黑體"/>
        <family val="2"/>
        <charset val="136"/>
      </rPr>
      <t>應定期製作銀行調節表，若有差異應追查原因，經辨認出之錯誤應即時入帳。</t>
    </r>
    <phoneticPr fontId="2" type="noConversion"/>
  </si>
  <si>
    <r>
      <rPr>
        <sz val="12"/>
        <rFont val="微軟正黑體"/>
        <family val="2"/>
        <charset val="136"/>
      </rPr>
      <t>定期分析客訴案件以提升服務品質</t>
    </r>
    <phoneticPr fontId="2" type="noConversion"/>
  </si>
  <si>
    <r>
      <rPr>
        <sz val="12"/>
        <rFont val="微軟正黑體"/>
        <family val="2"/>
        <charset val="136"/>
      </rPr>
      <t>應定期分析客戶抱怨資料，並確實提報權責主管或管理審查會。</t>
    </r>
    <phoneticPr fontId="2" type="noConversion"/>
  </si>
  <si>
    <r>
      <rPr>
        <sz val="12"/>
        <rFont val="微軟正黑體"/>
        <family val="2"/>
        <charset val="136"/>
      </rPr>
      <t>銷貨退回或折讓作業</t>
    </r>
    <phoneticPr fontId="2" type="noConversion"/>
  </si>
  <si>
    <r>
      <rPr>
        <sz val="12"/>
        <rFont val="微軟正黑體"/>
        <family val="2"/>
        <charset val="136"/>
      </rPr>
      <t>應制訂銷貨折讓之政策，權責主管並應定期監督該政策之執行情形。</t>
    </r>
    <phoneticPr fontId="2" type="noConversion"/>
  </si>
  <si>
    <r>
      <rPr>
        <sz val="12"/>
        <rFont val="微軟正黑體"/>
        <family val="2"/>
        <charset val="136"/>
      </rPr>
      <t>退回之貨品應皆經由品管單位審查。</t>
    </r>
    <phoneticPr fontId="2" type="noConversion"/>
  </si>
  <si>
    <r>
      <rPr>
        <sz val="12"/>
        <rFont val="微軟正黑體"/>
        <family val="2"/>
        <charset val="136"/>
      </rPr>
      <t>實際退庫數量與帳上一致</t>
    </r>
    <phoneticPr fontId="2" type="noConversion"/>
  </si>
  <si>
    <r>
      <rPr>
        <sz val="12"/>
        <rFont val="微軟正黑體"/>
        <family val="2"/>
        <charset val="136"/>
      </rPr>
      <t>產品銷毀作業</t>
    </r>
    <phoneticPr fontId="2" type="noConversion"/>
  </si>
  <si>
    <r>
      <rPr>
        <sz val="12"/>
        <rFont val="微軟正黑體"/>
        <family val="2"/>
        <charset val="136"/>
      </rPr>
      <t>於產品銷毀作業完成後應由清運商處理後續作業。</t>
    </r>
    <phoneticPr fontId="2" type="noConversion"/>
  </si>
  <si>
    <r>
      <rPr>
        <sz val="12"/>
        <rFont val="微軟正黑體"/>
        <family val="2"/>
        <charset val="136"/>
      </rPr>
      <t>向主管機關申請報廢前應開立物品處置單、備妥報廢明細並經權責主管核可。</t>
    </r>
    <phoneticPr fontId="2" type="noConversion"/>
  </si>
  <si>
    <r>
      <rPr>
        <sz val="12"/>
        <rFont val="微軟正黑體"/>
        <family val="2"/>
        <charset val="136"/>
      </rPr>
      <t>差異分析作業</t>
    </r>
    <phoneticPr fontId="2" type="noConversion"/>
  </si>
  <si>
    <r>
      <rPr>
        <sz val="12"/>
        <rFont val="微軟正黑體"/>
        <family val="2"/>
        <charset val="136"/>
      </rPr>
      <t>應定期針對銷貨收入及銷貨毛利等科目與預算進行比較，若發生重大差異應追蹤分析並經權責主管核准。</t>
    </r>
    <phoneticPr fontId="3" type="noConversion"/>
  </si>
  <si>
    <r>
      <rPr>
        <b/>
        <sz val="12"/>
        <rFont val="微軟正黑體"/>
        <family val="2"/>
        <charset val="136"/>
      </rPr>
      <t>循環名稱</t>
    </r>
    <phoneticPr fontId="3" type="noConversion"/>
  </si>
  <si>
    <r>
      <rPr>
        <b/>
        <sz val="12"/>
        <rFont val="微軟正黑體"/>
        <family val="2"/>
        <charset val="136"/>
      </rPr>
      <t>子作業編號</t>
    </r>
    <phoneticPr fontId="3" type="noConversion"/>
  </si>
  <si>
    <r>
      <rPr>
        <b/>
        <sz val="12"/>
        <rFont val="微軟正黑體"/>
        <family val="2"/>
        <charset val="136"/>
      </rPr>
      <t>控制活動</t>
    </r>
    <phoneticPr fontId="3" type="noConversion"/>
  </si>
  <si>
    <r>
      <rPr>
        <sz val="12"/>
        <rFont val="微軟正黑體"/>
        <family val="2"/>
        <charset val="136"/>
      </rPr>
      <t>修改客戶主檔應經適當授權並驗證其正確性及持續有效性。</t>
    </r>
    <phoneticPr fontId="18" type="noConversion"/>
  </si>
  <si>
    <r>
      <rPr>
        <sz val="12"/>
        <rFont val="微軟正黑體"/>
        <family val="2"/>
        <charset val="136"/>
      </rPr>
      <t>交付貨物予客戶或客戶指定運輸公司後，應進行簽收，並將簽收紀錄妥為保管。</t>
    </r>
    <phoneticPr fontId="2" type="noConversion"/>
  </si>
  <si>
    <r>
      <rPr>
        <sz val="12"/>
        <rFont val="微軟正黑體"/>
        <family val="2"/>
        <charset val="136"/>
      </rPr>
      <t>公司設置相關出口及保稅業務時，應依據相關法規規定編制帳冊、報表及相關申請文件，送主管機關或海關取得核可。</t>
    </r>
    <phoneticPr fontId="2" type="noConversion"/>
  </si>
  <si>
    <r>
      <rPr>
        <sz val="12"/>
        <rFont val="微軟正黑體"/>
        <family val="2"/>
        <charset val="136"/>
      </rPr>
      <t>權責主管應覆核所有接近結帳日之交易，以確保收入認列係歸屬於正確之會計期間。</t>
    </r>
    <phoneticPr fontId="2" type="noConversion"/>
  </si>
  <si>
    <r>
      <rPr>
        <sz val="12"/>
        <rFont val="微軟正黑體"/>
        <family val="2"/>
        <charset val="136"/>
      </rPr>
      <t>客戶對帳單應定期寄發予客戶。</t>
    </r>
    <phoneticPr fontId="2" type="noConversion"/>
  </si>
  <si>
    <r>
      <rPr>
        <sz val="12"/>
        <rFont val="微軟正黑體"/>
        <family val="2"/>
        <charset val="136"/>
      </rPr>
      <t>偵測性控制</t>
    </r>
    <phoneticPr fontId="2" type="noConversion"/>
  </si>
  <si>
    <r>
      <rPr>
        <sz val="12"/>
        <rFont val="微軟正黑體"/>
        <family val="2"/>
        <charset val="136"/>
      </rPr>
      <t>帳務調整皆應經過適當覆核，並產生相對應之憑證</t>
    </r>
    <phoneticPr fontId="2" type="noConversion"/>
  </si>
  <si>
    <r>
      <rPr>
        <sz val="12"/>
        <rFont val="微軟正黑體"/>
        <family val="2"/>
        <charset val="136"/>
      </rPr>
      <t>應核對客戶匯入款項與帳載之一致性後進行沖帳作業，並製作相關傳票由權責主管核准。</t>
    </r>
    <phoneticPr fontId="2" type="noConversion"/>
  </si>
  <si>
    <r>
      <rPr>
        <sz val="12"/>
        <rFont val="微軟正黑體"/>
        <family val="2"/>
        <charset val="136"/>
      </rPr>
      <t>及時處理客訴案件以降低公司損失</t>
    </r>
    <phoneticPr fontId="2" type="noConversion"/>
  </si>
  <si>
    <r>
      <rPr>
        <sz val="12"/>
        <rFont val="微軟正黑體"/>
        <family val="2"/>
        <charset val="136"/>
      </rPr>
      <t>留存客訴案件處理軌跡以符合調閱需求</t>
    </r>
    <phoneticPr fontId="2" type="noConversion"/>
  </si>
  <si>
    <r>
      <rPr>
        <sz val="12"/>
        <rFont val="微軟正黑體"/>
        <family val="2"/>
        <charset val="136"/>
      </rPr>
      <t>不定期</t>
    </r>
    <phoneticPr fontId="2" type="noConversion"/>
  </si>
  <si>
    <r>
      <rPr>
        <sz val="12"/>
        <rFont val="微軟正黑體"/>
        <family val="2"/>
        <charset val="136"/>
      </rPr>
      <t>持續</t>
    </r>
    <phoneticPr fontId="2" type="noConversion"/>
  </si>
  <si>
    <r>
      <rPr>
        <b/>
        <sz val="12"/>
        <rFont val="微軟正黑體"/>
        <family val="2"/>
        <charset val="136"/>
      </rPr>
      <t>控制資訊</t>
    </r>
    <phoneticPr fontId="3" type="noConversion"/>
  </si>
  <si>
    <r>
      <rPr>
        <b/>
        <sz val="12"/>
        <rFont val="微軟正黑體"/>
        <family val="2"/>
        <charset val="136"/>
      </rPr>
      <t>控制活動編號</t>
    </r>
    <phoneticPr fontId="3" type="noConversion"/>
  </si>
  <si>
    <r>
      <rPr>
        <sz val="12"/>
        <rFont val="微軟正黑體"/>
        <family val="2"/>
        <charset val="136"/>
      </rPr>
      <t>銷售預測及計畫作業</t>
    </r>
    <phoneticPr fontId="2" type="noConversion"/>
  </si>
  <si>
    <r>
      <rPr>
        <sz val="12"/>
        <rFont val="微軟正黑體"/>
        <family val="2"/>
        <charset val="136"/>
      </rPr>
      <t>每週</t>
    </r>
    <phoneticPr fontId="2" type="noConversion"/>
  </si>
  <si>
    <r>
      <rPr>
        <sz val="12"/>
        <rFont val="微軟正黑體"/>
        <family val="2"/>
        <charset val="136"/>
      </rPr>
      <t>所有交貨計畫應與訂單、合約一致，如有差異應取得另外的客戶指示。</t>
    </r>
    <phoneticPr fontId="2" type="noConversion"/>
  </si>
  <si>
    <r>
      <t>Credit Notes</t>
    </r>
    <r>
      <rPr>
        <sz val="12"/>
        <rFont val="微軟正黑體"/>
        <family val="2"/>
        <charset val="136"/>
      </rPr>
      <t>應順序編號，並按編號順序歸檔。</t>
    </r>
    <phoneticPr fontId="2" type="noConversion"/>
  </si>
  <si>
    <r>
      <rPr>
        <sz val="12"/>
        <rFont val="微軟正黑體"/>
        <family val="2"/>
        <charset val="136"/>
      </rPr>
      <t>權責主管應定期監督並分析銷貨折讓所為調整之原因、數量及金額。</t>
    </r>
    <phoneticPr fontId="2" type="noConversion"/>
  </si>
  <si>
    <r>
      <rPr>
        <sz val="12"/>
        <rFont val="微軟正黑體"/>
        <family val="2"/>
        <charset val="136"/>
      </rPr>
      <t>負責新增及維護客戶信用主檔之人員應經權責主管適當授權，並將權限設定於應用系統中。</t>
    </r>
    <phoneticPr fontId="2" type="noConversion"/>
  </si>
  <si>
    <r>
      <rPr>
        <sz val="12"/>
        <rFont val="微軟正黑體"/>
        <family val="2"/>
        <charset val="136"/>
      </rPr>
      <t>公司應訂定信用額度授與及控管之政策，並且將此政策宣導至相關單位。</t>
    </r>
    <phoneticPr fontId="2" type="noConversion"/>
  </si>
  <si>
    <r>
      <rPr>
        <sz val="12"/>
        <rFont val="微軟正黑體"/>
        <family val="2"/>
        <charset val="136"/>
      </rPr>
      <t>信用控管單位應定期評估所有客戶信用額度之適當性，針對應收帳款惡化或顯現不利償債能力之客戶，應執行債權確保法律程序，於信控主檔調整風險等級及信用額度。</t>
    </r>
    <phoneticPr fontId="2" type="noConversion"/>
  </si>
  <si>
    <r>
      <rPr>
        <sz val="12"/>
        <rFont val="微軟正黑體"/>
        <family val="2"/>
        <charset val="136"/>
      </rPr>
      <t>訂單處理作業</t>
    </r>
    <phoneticPr fontId="3" type="noConversion"/>
  </si>
  <si>
    <r>
      <rPr>
        <sz val="12"/>
        <rFont val="微軟正黑體"/>
        <family val="2"/>
        <charset val="136"/>
      </rPr>
      <t>銷貨應皆已依據法令規定於法定期限內開立發票。</t>
    </r>
    <phoneticPr fontId="2" type="noConversion"/>
  </si>
  <si>
    <r>
      <rPr>
        <b/>
        <sz val="12"/>
        <rFont val="微軟正黑體"/>
        <family val="2"/>
        <charset val="136"/>
      </rPr>
      <t>流程資訊</t>
    </r>
    <phoneticPr fontId="3" type="noConversion"/>
  </si>
  <si>
    <r>
      <rPr>
        <b/>
        <sz val="12"/>
        <rFont val="微軟正黑體"/>
        <family val="2"/>
        <charset val="136"/>
      </rPr>
      <t>循環編號</t>
    </r>
    <phoneticPr fontId="3" type="noConversion"/>
  </si>
  <si>
    <r>
      <rPr>
        <b/>
        <sz val="12"/>
        <rFont val="微軟正黑體"/>
        <family val="2"/>
        <charset val="136"/>
      </rPr>
      <t>子作業名稱</t>
    </r>
    <phoneticPr fontId="3" type="noConversion"/>
  </si>
  <si>
    <r>
      <rPr>
        <b/>
        <sz val="12"/>
        <rFont val="微軟正黑體"/>
        <family val="2"/>
        <charset val="136"/>
      </rPr>
      <t>頻率</t>
    </r>
    <phoneticPr fontId="3" type="noConversion"/>
  </si>
  <si>
    <r>
      <rPr>
        <b/>
        <sz val="12"/>
        <rFont val="微軟正黑體"/>
        <family val="2"/>
        <charset val="136"/>
      </rPr>
      <t>現況描述</t>
    </r>
    <phoneticPr fontId="2" type="noConversion"/>
  </si>
  <si>
    <r>
      <rPr>
        <sz val="12"/>
        <rFont val="微軟正黑體"/>
        <family val="2"/>
        <charset val="136"/>
      </rPr>
      <t>出貨係依據有效訂單及合約</t>
    </r>
    <phoneticPr fontId="2" type="noConversion"/>
  </si>
  <si>
    <r>
      <rPr>
        <sz val="12"/>
        <rFont val="微軟正黑體"/>
        <family val="2"/>
        <charset val="136"/>
      </rPr>
      <t>所有貨品及勞務交易資訊皆應記錄於系統。</t>
    </r>
    <phoneticPr fontId="2" type="noConversion"/>
  </si>
  <si>
    <r>
      <rPr>
        <sz val="12"/>
        <rFont val="微軟正黑體"/>
        <family val="2"/>
        <charset val="136"/>
      </rPr>
      <t>每年</t>
    </r>
    <phoneticPr fontId="2" type="noConversion"/>
  </si>
  <si>
    <r>
      <t>Billing Invoice</t>
    </r>
    <r>
      <rPr>
        <sz val="12"/>
        <rFont val="微軟正黑體"/>
        <family val="2"/>
        <charset val="136"/>
      </rPr>
      <t>寄送前應由權責人員覆核其內容與出貨或勞務之資訊一致性。</t>
    </r>
    <phoneticPr fontId="2" type="noConversion"/>
  </si>
  <si>
    <r>
      <rPr>
        <sz val="12"/>
        <rFont val="微軟正黑體"/>
        <family val="2"/>
        <charset val="136"/>
      </rPr>
      <t>銷售預測應包含客戶端提供之銷售預測資料，使生管相關單位能據此規劃產能。</t>
    </r>
    <phoneticPr fontId="2" type="noConversion"/>
  </si>
  <si>
    <r>
      <rPr>
        <sz val="12"/>
        <rFont val="微軟正黑體"/>
        <family val="2"/>
        <charset val="136"/>
      </rPr>
      <t>新增或修正客戶風險等級及信用額度時，信控人員應依據已經權責主管核准之相關資料及授信政策，評估客戶之風險等級及授信額度。</t>
    </r>
    <phoneticPr fontId="2" type="noConversion"/>
  </si>
  <si>
    <r>
      <rPr>
        <sz val="12"/>
        <rFont val="微軟正黑體"/>
        <family val="2"/>
        <charset val="136"/>
      </rPr>
      <t>銷貨折讓應備妥相關資料，並先取得權責主管之核准。</t>
    </r>
    <phoneticPr fontId="2" type="noConversion"/>
  </si>
  <si>
    <r>
      <rPr>
        <b/>
        <sz val="12"/>
        <rFont val="微軟正黑體"/>
        <family val="2"/>
        <charset val="136"/>
      </rPr>
      <t>風險資訊</t>
    </r>
    <phoneticPr fontId="2" type="noConversion"/>
  </si>
  <si>
    <r>
      <rPr>
        <b/>
        <sz val="12"/>
        <rFont val="微軟正黑體"/>
        <family val="2"/>
        <charset val="136"/>
      </rPr>
      <t>會計科目</t>
    </r>
    <phoneticPr fontId="3" type="noConversion"/>
  </si>
  <si>
    <r>
      <rPr>
        <b/>
        <sz val="12"/>
        <rFont val="微軟正黑體"/>
        <family val="2"/>
        <charset val="136"/>
      </rPr>
      <t>公司</t>
    </r>
    <phoneticPr fontId="26" type="noConversion"/>
  </si>
  <si>
    <r>
      <rPr>
        <b/>
        <sz val="12"/>
        <rFont val="微軟正黑體"/>
        <family val="2"/>
        <charset val="136"/>
      </rPr>
      <t>相關政策或程序</t>
    </r>
    <phoneticPr fontId="2" type="noConversion"/>
  </si>
  <si>
    <r>
      <rPr>
        <b/>
        <sz val="12"/>
        <rFont val="微軟正黑體"/>
        <family val="2"/>
        <charset val="136"/>
      </rPr>
      <t>相關法令</t>
    </r>
    <phoneticPr fontId="3" type="noConversion"/>
  </si>
  <si>
    <r>
      <rPr>
        <b/>
        <sz val="12"/>
        <rFont val="微軟正黑體"/>
        <family val="2"/>
        <charset val="136"/>
      </rPr>
      <t>相關文件</t>
    </r>
    <phoneticPr fontId="3" type="noConversion"/>
  </si>
  <si>
    <r>
      <rPr>
        <b/>
        <sz val="12"/>
        <rFont val="微軟正黑體"/>
        <family val="2"/>
        <charset val="136"/>
      </rPr>
      <t>控制有效性評估</t>
    </r>
    <phoneticPr fontId="2" type="noConversion"/>
  </si>
  <si>
    <r>
      <rPr>
        <b/>
        <sz val="12"/>
        <rFont val="微軟正黑體"/>
        <family val="2"/>
        <charset val="136"/>
      </rPr>
      <t>控制設計差異說明</t>
    </r>
    <phoneticPr fontId="2" type="noConversion"/>
  </si>
  <si>
    <r>
      <rPr>
        <b/>
        <sz val="12"/>
        <rFont val="微軟正黑體"/>
        <family val="2"/>
        <charset val="136"/>
      </rPr>
      <t>可能潛在風險</t>
    </r>
    <phoneticPr fontId="18" type="noConversion"/>
  </si>
  <si>
    <r>
      <rPr>
        <b/>
        <sz val="12"/>
        <rFont val="微軟正黑體"/>
        <family val="2"/>
        <charset val="136"/>
      </rPr>
      <t>建議改善方式</t>
    </r>
    <phoneticPr fontId="2" type="noConversion"/>
  </si>
  <si>
    <r>
      <rPr>
        <sz val="12"/>
        <rFont val="微軟正黑體"/>
        <family val="2"/>
        <charset val="136"/>
      </rPr>
      <t>營運／基礎架構</t>
    </r>
  </si>
  <si>
    <r>
      <rPr>
        <sz val="12"/>
        <rFont val="微軟正黑體"/>
        <family val="2"/>
        <charset val="136"/>
      </rPr>
      <t>企業資產</t>
    </r>
  </si>
  <si>
    <r>
      <rPr>
        <sz val="12"/>
        <rFont val="微軟正黑體"/>
        <family val="2"/>
        <charset val="136"/>
      </rPr>
      <t>運用</t>
    </r>
    <phoneticPr fontId="2" type="noConversion"/>
  </si>
  <si>
    <r>
      <rPr>
        <sz val="12"/>
        <rFont val="微軟正黑體"/>
        <family val="2"/>
        <charset val="136"/>
      </rPr>
      <t>生產規劃不當</t>
    </r>
  </si>
  <si>
    <r>
      <rPr>
        <sz val="12"/>
        <rFont val="微軟正黑體"/>
        <family val="2"/>
        <charset val="136"/>
      </rPr>
      <t>營運面</t>
    </r>
  </si>
  <si>
    <t>NA</t>
    <phoneticPr fontId="3" type="noConversion"/>
  </si>
  <si>
    <t>NA</t>
  </si>
  <si>
    <r>
      <rPr>
        <sz val="12"/>
        <rFont val="微軟正黑體"/>
        <family val="2"/>
        <charset val="136"/>
      </rPr>
      <t>財務</t>
    </r>
  </si>
  <si>
    <r>
      <rPr>
        <sz val="12"/>
        <rFont val="微軟正黑體"/>
        <family val="2"/>
        <charset val="136"/>
      </rPr>
      <t>財務計畫／預算／預測</t>
    </r>
  </si>
  <si>
    <r>
      <rPr>
        <sz val="12"/>
        <rFont val="微軟正黑體"/>
        <family val="2"/>
        <charset val="136"/>
      </rPr>
      <t>不適當商業假設</t>
    </r>
  </si>
  <si>
    <r>
      <rPr>
        <sz val="12"/>
        <rFont val="微軟正黑體"/>
        <family val="2"/>
        <charset val="136"/>
      </rPr>
      <t>供應鏈</t>
    </r>
  </si>
  <si>
    <r>
      <rPr>
        <sz val="12"/>
        <rFont val="微軟正黑體"/>
        <family val="2"/>
        <charset val="136"/>
      </rPr>
      <t>規劃</t>
    </r>
  </si>
  <si>
    <r>
      <rPr>
        <sz val="12"/>
        <rFont val="微軟正黑體"/>
        <family val="2"/>
        <charset val="136"/>
      </rPr>
      <t>不精準的的市場需求與供應預測</t>
    </r>
  </si>
  <si>
    <r>
      <rPr>
        <sz val="12"/>
        <rFont val="微軟正黑體"/>
        <family val="2"/>
        <charset val="136"/>
      </rPr>
      <t>每週／
每月／
每季</t>
    </r>
    <phoneticPr fontId="2" type="noConversion"/>
  </si>
  <si>
    <r>
      <rPr>
        <sz val="12"/>
        <rFont val="微軟正黑體"/>
        <family val="2"/>
        <charset val="136"/>
      </rPr>
      <t>策略規劃</t>
    </r>
    <phoneticPr fontId="3" type="noConversion"/>
  </si>
  <si>
    <r>
      <rPr>
        <sz val="12"/>
        <rFont val="微軟正黑體"/>
        <family val="2"/>
        <charset val="136"/>
      </rPr>
      <t>策略</t>
    </r>
    <phoneticPr fontId="3" type="noConversion"/>
  </si>
  <si>
    <r>
      <rPr>
        <sz val="12"/>
        <rFont val="微軟正黑體"/>
        <family val="2"/>
        <charset val="136"/>
      </rPr>
      <t>定價</t>
    </r>
    <phoneticPr fontId="3" type="noConversion"/>
  </si>
  <si>
    <r>
      <rPr>
        <sz val="12"/>
        <rFont val="微軟正黑體"/>
        <family val="2"/>
        <charset val="136"/>
      </rPr>
      <t>產品／服務的定價不當</t>
    </r>
    <phoneticPr fontId="3" type="noConversion"/>
  </si>
  <si>
    <r>
      <rPr>
        <sz val="12"/>
        <rFont val="微軟正黑體"/>
        <family val="2"/>
        <charset val="136"/>
      </rPr>
      <t>營運／基礎架構</t>
    </r>
    <phoneticPr fontId="3" type="noConversion"/>
  </si>
  <si>
    <r>
      <rPr>
        <sz val="12"/>
        <rFont val="微軟正黑體"/>
        <family val="2"/>
        <charset val="136"/>
      </rPr>
      <t>財務</t>
    </r>
    <phoneticPr fontId="3" type="noConversion"/>
  </si>
  <si>
    <r>
      <rPr>
        <sz val="12"/>
        <rFont val="微軟正黑體"/>
        <family val="2"/>
        <charset val="136"/>
      </rPr>
      <t>會計</t>
    </r>
    <phoneticPr fontId="3" type="noConversion"/>
  </si>
  <si>
    <r>
      <rPr>
        <sz val="12"/>
        <rFont val="微軟正黑體"/>
        <family val="2"/>
        <charset val="136"/>
      </rPr>
      <t>不實的財務資訊</t>
    </r>
    <phoneticPr fontId="3" type="noConversion"/>
  </si>
  <si>
    <r>
      <rPr>
        <sz val="12"/>
        <rFont val="微軟正黑體"/>
        <family val="2"/>
        <charset val="136"/>
      </rPr>
      <t>報導面</t>
    </r>
  </si>
  <si>
    <r>
      <rPr>
        <sz val="12"/>
        <rFont val="微軟正黑體"/>
        <family val="2"/>
        <charset val="136"/>
      </rPr>
      <t>策略規劃</t>
    </r>
    <phoneticPr fontId="2" type="noConversion"/>
  </si>
  <si>
    <r>
      <rPr>
        <sz val="12"/>
        <rFont val="微軟正黑體"/>
        <family val="2"/>
        <charset val="136"/>
      </rPr>
      <t>外部因素</t>
    </r>
  </si>
  <si>
    <r>
      <rPr>
        <sz val="12"/>
        <rFont val="微軟正黑體"/>
        <family val="2"/>
        <charset val="136"/>
      </rPr>
      <t>顧客需求</t>
    </r>
  </si>
  <si>
    <r>
      <rPr>
        <sz val="12"/>
        <rFont val="微軟正黑體"/>
        <family val="2"/>
        <charset val="136"/>
      </rPr>
      <t>條款和條件變動</t>
    </r>
  </si>
  <si>
    <r>
      <rPr>
        <sz val="12"/>
        <rFont val="微軟正黑體"/>
        <family val="2"/>
        <charset val="136"/>
      </rPr>
      <t>財務</t>
    </r>
    <phoneticPr fontId="2" type="noConversion"/>
  </si>
  <si>
    <r>
      <rPr>
        <sz val="12"/>
        <rFont val="微軟正黑體"/>
        <family val="2"/>
        <charset val="136"/>
      </rPr>
      <t>不實的財務資訊</t>
    </r>
    <phoneticPr fontId="2" type="noConversion"/>
  </si>
  <si>
    <r>
      <rPr>
        <sz val="12"/>
        <rFont val="微軟正黑體"/>
        <family val="2"/>
        <charset val="136"/>
      </rPr>
      <t>客戶主檔異動申請應建立書面記錄，以便權責主管覆核客戶主檔異動之正確性，並由獨立第三人核對系統更正資料之完整性及正確性，相關軌跡應完整留存。</t>
    </r>
    <phoneticPr fontId="18" type="noConversion"/>
  </si>
  <si>
    <r>
      <rPr>
        <sz val="12"/>
        <rFont val="微軟正黑體"/>
        <family val="2"/>
        <charset val="136"/>
      </rPr>
      <t>策略規劃</t>
    </r>
  </si>
  <si>
    <r>
      <rPr>
        <sz val="12"/>
        <rFont val="微軟正黑體"/>
        <family val="2"/>
        <charset val="136"/>
      </rPr>
      <t>不定期／每週</t>
    </r>
    <phoneticPr fontId="2" type="noConversion"/>
  </si>
  <si>
    <r>
      <rPr>
        <sz val="12"/>
        <rFont val="微軟正黑體"/>
        <family val="2"/>
        <charset val="136"/>
      </rPr>
      <t>檔案紀錄管理</t>
    </r>
  </si>
  <si>
    <r>
      <rPr>
        <sz val="12"/>
        <rFont val="微軟正黑體"/>
        <family val="2"/>
        <charset val="136"/>
      </rPr>
      <t>資料不實</t>
    </r>
  </si>
  <si>
    <r>
      <rPr>
        <sz val="12"/>
        <rFont val="微軟正黑體"/>
        <family val="2"/>
        <charset val="136"/>
      </rPr>
      <t>授信</t>
    </r>
  </si>
  <si>
    <r>
      <rPr>
        <sz val="12"/>
        <rFont val="微軟正黑體"/>
        <family val="2"/>
        <charset val="136"/>
      </rPr>
      <t>未妥善維護客戶信用相關資訊</t>
    </r>
  </si>
  <si>
    <r>
      <rPr>
        <sz val="12"/>
        <rFont val="微軟正黑體"/>
        <family val="2"/>
        <charset val="136"/>
      </rPr>
      <t>處理客戶訂單前應先確認其是否已建立信用額度或信用額度是否足夠。</t>
    </r>
    <phoneticPr fontId="2" type="noConversion"/>
  </si>
  <si>
    <r>
      <rPr>
        <sz val="12"/>
        <rFont val="微軟正黑體"/>
        <family val="2"/>
        <charset val="136"/>
      </rPr>
      <t>缺乏有效之授信管理程序</t>
    </r>
    <phoneticPr fontId="3" type="noConversion"/>
  </si>
  <si>
    <r>
      <rPr>
        <sz val="12"/>
        <rFont val="微軟正黑體"/>
        <family val="2"/>
        <charset val="136"/>
      </rPr>
      <t>每週／
每半年</t>
    </r>
    <phoneticPr fontId="3" type="noConversion"/>
  </si>
  <si>
    <r>
      <rPr>
        <sz val="12"/>
        <rFont val="微軟正黑體"/>
        <family val="2"/>
        <charset val="136"/>
      </rPr>
      <t>會計</t>
    </r>
  </si>
  <si>
    <r>
      <rPr>
        <sz val="12"/>
        <rFont val="微軟正黑體"/>
        <family val="2"/>
        <charset val="136"/>
      </rPr>
      <t>不實的財務資訊</t>
    </r>
  </si>
  <si>
    <r>
      <t>Sales Orders</t>
    </r>
    <r>
      <rPr>
        <sz val="12"/>
        <rFont val="微軟正黑體"/>
        <family val="2"/>
        <charset val="136"/>
      </rPr>
      <t>應依據客戶訂單建立並經權責主管核准。</t>
    </r>
  </si>
  <si>
    <r>
      <rPr>
        <sz val="12"/>
        <rFont val="微軟正黑體"/>
        <family val="2"/>
        <charset val="136"/>
      </rPr>
      <t>會計</t>
    </r>
    <phoneticPr fontId="2" type="noConversion"/>
  </si>
  <si>
    <r>
      <rPr>
        <sz val="12"/>
        <rFont val="微軟正黑體"/>
        <family val="2"/>
        <charset val="136"/>
      </rPr>
      <t>資訊科技</t>
    </r>
    <phoneticPr fontId="2" type="noConversion"/>
  </si>
  <si>
    <r>
      <rPr>
        <sz val="12"/>
        <rFont val="微軟正黑體"/>
        <family val="2"/>
        <charset val="136"/>
      </rPr>
      <t>資訊安全</t>
    </r>
    <phoneticPr fontId="2" type="noConversion"/>
  </si>
  <si>
    <r>
      <rPr>
        <sz val="12"/>
        <rFont val="微軟正黑體"/>
        <family val="2"/>
        <charset val="136"/>
      </rPr>
      <t>無效果／無效率的存取控制</t>
    </r>
    <phoneticPr fontId="2" type="noConversion"/>
  </si>
  <si>
    <r>
      <rPr>
        <sz val="12"/>
        <rFont val="微軟正黑體"/>
        <family val="2"/>
        <charset val="136"/>
      </rPr>
      <t>資訊安全</t>
    </r>
    <phoneticPr fontId="3" type="noConversion"/>
  </si>
  <si>
    <t>NA</t>
    <phoneticPr fontId="21" type="noConversion"/>
  </si>
  <si>
    <r>
      <t>Sales Orders</t>
    </r>
    <r>
      <rPr>
        <sz val="12"/>
        <rFont val="微軟正黑體"/>
        <family val="2"/>
        <charset val="136"/>
      </rPr>
      <t>修改應取得客戶確認且核對客戶原始文件，方可於系統異動。</t>
    </r>
  </si>
  <si>
    <r>
      <rPr>
        <sz val="12"/>
        <rFont val="微軟正黑體"/>
        <family val="2"/>
        <charset val="136"/>
      </rPr>
      <t>策略</t>
    </r>
  </si>
  <si>
    <r>
      <rPr>
        <sz val="12"/>
        <rFont val="微軟正黑體"/>
        <family val="2"/>
        <charset val="136"/>
      </rPr>
      <t>定價</t>
    </r>
  </si>
  <si>
    <r>
      <rPr>
        <sz val="12"/>
        <rFont val="微軟正黑體"/>
        <family val="2"/>
        <charset val="136"/>
      </rPr>
      <t>產品／服務的定價不當</t>
    </r>
  </si>
  <si>
    <r>
      <t>Sales Orders</t>
    </r>
    <r>
      <rPr>
        <sz val="12"/>
        <rFont val="微軟正黑體"/>
        <family val="2"/>
        <charset val="136"/>
      </rPr>
      <t>修改應經權責主管核准，並確實送交報價權責人員針對要求賠償之金額進行報價。</t>
    </r>
  </si>
  <si>
    <r>
      <rPr>
        <sz val="12"/>
        <rFont val="微軟正黑體"/>
        <family val="2"/>
        <charset val="136"/>
      </rPr>
      <t>運送／交貨</t>
    </r>
  </si>
  <si>
    <r>
      <rPr>
        <sz val="12"/>
        <rFont val="微軟正黑體"/>
        <family val="2"/>
        <charset val="136"/>
      </rPr>
      <t>訂單及交期確認流程缺乏效率</t>
    </r>
  </si>
  <si>
    <r>
      <rPr>
        <sz val="12"/>
        <rFont val="微軟正黑體"/>
        <family val="2"/>
        <charset val="136"/>
      </rPr>
      <t>運輸／物流公司服務不可靠</t>
    </r>
  </si>
  <si>
    <r>
      <rPr>
        <sz val="12"/>
        <rFont val="微軟正黑體"/>
        <family val="2"/>
        <charset val="136"/>
      </rPr>
      <t>定期檢視所有勞務服務皆已於適當期間完成系統登帳作業。</t>
    </r>
  </si>
  <si>
    <r>
      <rPr>
        <sz val="12"/>
        <rFont val="微軟正黑體"/>
        <family val="2"/>
        <charset val="136"/>
      </rPr>
      <t>不定期／每月</t>
    </r>
    <phoneticPr fontId="2" type="noConversion"/>
  </si>
  <si>
    <r>
      <rPr>
        <sz val="12"/>
        <rFont val="微軟正黑體"/>
        <family val="2"/>
        <charset val="136"/>
      </rPr>
      <t>法律</t>
    </r>
  </si>
  <si>
    <r>
      <rPr>
        <sz val="12"/>
        <rFont val="微軟正黑體"/>
        <family val="2"/>
        <charset val="136"/>
      </rPr>
      <t>法律和法規遵循</t>
    </r>
  </si>
  <si>
    <r>
      <rPr>
        <sz val="12"/>
        <rFont val="微軟正黑體"/>
        <family val="2"/>
        <charset val="136"/>
      </rPr>
      <t>針對法令遵循的實施與執行未有監督機制</t>
    </r>
  </si>
  <si>
    <r>
      <rPr>
        <sz val="12"/>
        <rFont val="微軟正黑體"/>
        <family val="2"/>
        <charset val="136"/>
      </rPr>
      <t>遵循面</t>
    </r>
  </si>
  <si>
    <r>
      <rPr>
        <sz val="12"/>
        <rFont val="微軟正黑體"/>
        <family val="2"/>
        <charset val="136"/>
      </rPr>
      <t>無效率之訂單管理及驗證過程</t>
    </r>
    <phoneticPr fontId="3" type="noConversion"/>
  </si>
  <si>
    <r>
      <rPr>
        <sz val="12"/>
        <rFont val="微軟正黑體"/>
        <family val="2"/>
        <charset val="136"/>
      </rPr>
      <t>營運面</t>
    </r>
    <phoneticPr fontId="3" type="noConversion"/>
  </si>
  <si>
    <t>CS</t>
    <phoneticPr fontId="2" type="noConversion"/>
  </si>
  <si>
    <r>
      <rPr>
        <sz val="12"/>
        <color theme="1"/>
        <rFont val="微軟正黑體"/>
        <family val="2"/>
        <charset val="136"/>
      </rPr>
      <t>銷售及收款</t>
    </r>
    <phoneticPr fontId="2" type="noConversion"/>
  </si>
  <si>
    <r>
      <rPr>
        <sz val="12"/>
        <color theme="1"/>
        <rFont val="微軟正黑體"/>
        <family val="2"/>
        <charset val="136"/>
      </rPr>
      <t>交貨或提供勞務作業</t>
    </r>
    <phoneticPr fontId="2" type="noConversion"/>
  </si>
  <si>
    <r>
      <rPr>
        <sz val="12"/>
        <color theme="1"/>
        <rFont val="微軟正黑體"/>
        <family val="2"/>
        <charset val="136"/>
      </rPr>
      <t>營運／基礎架構</t>
    </r>
  </si>
  <si>
    <r>
      <rPr>
        <sz val="12"/>
        <color theme="1"/>
        <rFont val="微軟正黑體"/>
        <family val="2"/>
        <charset val="136"/>
      </rPr>
      <t>財務</t>
    </r>
  </si>
  <si>
    <r>
      <rPr>
        <sz val="12"/>
        <color theme="1"/>
        <rFont val="微軟正黑體"/>
        <family val="2"/>
        <charset val="136"/>
      </rPr>
      <t>會計</t>
    </r>
  </si>
  <si>
    <r>
      <rPr>
        <sz val="12"/>
        <color theme="1"/>
        <rFont val="微軟正黑體"/>
        <family val="2"/>
        <charset val="136"/>
      </rPr>
      <t>不實的財務資訊</t>
    </r>
  </si>
  <si>
    <r>
      <rPr>
        <sz val="12"/>
        <color theme="1"/>
        <rFont val="微軟正黑體"/>
        <family val="2"/>
        <charset val="136"/>
      </rPr>
      <t>報導面</t>
    </r>
  </si>
  <si>
    <r>
      <rPr>
        <sz val="12"/>
        <color theme="1"/>
        <rFont val="微軟正黑體"/>
        <family val="2"/>
        <charset val="136"/>
      </rPr>
      <t>所有貨品及勞務交易資訊皆應記錄於系統。</t>
    </r>
    <phoneticPr fontId="2" type="noConversion"/>
  </si>
  <si>
    <r>
      <rPr>
        <sz val="12"/>
        <color theme="1"/>
        <rFont val="微軟正黑體"/>
        <family val="2"/>
        <charset val="136"/>
      </rPr>
      <t>人工</t>
    </r>
  </si>
  <si>
    <r>
      <rPr>
        <sz val="12"/>
        <color theme="1"/>
        <rFont val="微軟正黑體"/>
        <family val="2"/>
        <charset val="136"/>
      </rPr>
      <t>偵測性控制</t>
    </r>
  </si>
  <si>
    <r>
      <rPr>
        <sz val="12"/>
        <color theme="1"/>
        <rFont val="微軟正黑體"/>
        <family val="2"/>
        <charset val="136"/>
      </rPr>
      <t>企業資產</t>
    </r>
  </si>
  <si>
    <r>
      <rPr>
        <sz val="12"/>
        <color theme="1"/>
        <rFont val="微軟正黑體"/>
        <family val="2"/>
        <charset val="136"/>
      </rPr>
      <t>流程管理</t>
    </r>
  </si>
  <si>
    <r>
      <rPr>
        <sz val="12"/>
        <color theme="1"/>
        <rFont val="微軟正黑體"/>
        <family val="2"/>
        <charset val="136"/>
      </rPr>
      <t>無法追踪資產及相關資訊</t>
    </r>
  </si>
  <si>
    <r>
      <rPr>
        <sz val="12"/>
        <color theme="1"/>
        <rFont val="微軟正黑體"/>
        <family val="2"/>
        <charset val="136"/>
      </rPr>
      <t>營運面</t>
    </r>
  </si>
  <si>
    <r>
      <rPr>
        <sz val="12"/>
        <color theme="1"/>
        <rFont val="微軟正黑體"/>
        <family val="2"/>
        <charset val="136"/>
      </rPr>
      <t>存貨是可銷售的或可使用的，並有適當之保全。</t>
    </r>
  </si>
  <si>
    <r>
      <rPr>
        <sz val="12"/>
        <color theme="1"/>
        <rFont val="微軟正黑體"/>
        <family val="2"/>
        <charset val="136"/>
      </rPr>
      <t>預防性控制</t>
    </r>
  </si>
  <si>
    <r>
      <rPr>
        <sz val="12"/>
        <rFont val="微軟正黑體"/>
        <family val="2"/>
        <charset val="136"/>
      </rPr>
      <t>對會計分錄的控制不足</t>
    </r>
  </si>
  <si>
    <r>
      <rPr>
        <sz val="12"/>
        <rFont val="微軟正黑體"/>
        <family val="2"/>
        <charset val="136"/>
      </rPr>
      <t>每月</t>
    </r>
    <phoneticPr fontId="2" type="noConversion"/>
  </si>
  <si>
    <r>
      <rPr>
        <sz val="12"/>
        <rFont val="微軟正黑體"/>
        <family val="2"/>
        <charset val="136"/>
      </rPr>
      <t>稅務</t>
    </r>
  </si>
  <si>
    <r>
      <rPr>
        <sz val="12"/>
        <rFont val="微軟正黑體"/>
        <family val="2"/>
        <charset val="136"/>
      </rPr>
      <t>無法符合稅務規定</t>
    </r>
  </si>
  <si>
    <r>
      <rPr>
        <sz val="12"/>
        <rFont val="微軟正黑體"/>
        <family val="2"/>
        <charset val="136"/>
      </rPr>
      <t>若為已申報營業稅之發票申請作廢，應皆已檢附相關證明文件，申請專案退稅。若為未申報營業稅之發票申請作廢，應於原作廢發票存根聯上加蓋作廢章。</t>
    </r>
  </si>
  <si>
    <r>
      <rPr>
        <sz val="12"/>
        <rFont val="微軟正黑體"/>
        <family val="2"/>
        <charset val="136"/>
      </rPr>
      <t>稅務</t>
    </r>
    <phoneticPr fontId="2" type="noConversion"/>
  </si>
  <si>
    <r>
      <rPr>
        <sz val="12"/>
        <rFont val="微軟正黑體"/>
        <family val="2"/>
        <charset val="136"/>
      </rPr>
      <t>無法符合稅務規定</t>
    </r>
    <phoneticPr fontId="2" type="noConversion"/>
  </si>
  <si>
    <r>
      <rPr>
        <sz val="12"/>
        <rFont val="微軟正黑體"/>
        <family val="2"/>
        <charset val="136"/>
      </rPr>
      <t>發票資訊異動皆經適當授權</t>
    </r>
    <phoneticPr fontId="2" type="noConversion"/>
  </si>
  <si>
    <r>
      <rPr>
        <sz val="12"/>
        <rFont val="微軟正黑體"/>
        <family val="2"/>
        <charset val="136"/>
      </rPr>
      <t>權責主管應定期覆核及核准壞帳準備。</t>
    </r>
    <phoneticPr fontId="18" type="noConversion"/>
  </si>
  <si>
    <r>
      <rPr>
        <sz val="12"/>
        <rFont val="微軟正黑體"/>
        <family val="2"/>
        <charset val="136"/>
      </rPr>
      <t>營運／基礎架構</t>
    </r>
    <phoneticPr fontId="2" type="noConversion"/>
  </si>
  <si>
    <t>CS</t>
  </si>
  <si>
    <r>
      <rPr>
        <sz val="12"/>
        <rFont val="微軟正黑體"/>
        <family val="2"/>
        <charset val="136"/>
      </rPr>
      <t>收款作業</t>
    </r>
  </si>
  <si>
    <r>
      <rPr>
        <sz val="12"/>
        <rFont val="微軟正黑體"/>
        <family val="2"/>
        <charset val="136"/>
      </rPr>
      <t>報導</t>
    </r>
  </si>
  <si>
    <r>
      <rPr>
        <sz val="12"/>
        <rFont val="微軟正黑體"/>
        <family val="2"/>
        <charset val="136"/>
      </rPr>
      <t>報告品質</t>
    </r>
  </si>
  <si>
    <r>
      <rPr>
        <sz val="12"/>
        <rFont val="微軟正黑體"/>
        <family val="2"/>
        <charset val="136"/>
      </rPr>
      <t>報告資訊缺乏完整性與正確性</t>
    </r>
  </si>
  <si>
    <t xml:space="preserve">Receivables, Sales </t>
  </si>
  <si>
    <r>
      <rPr>
        <sz val="12"/>
        <rFont val="微軟正黑體"/>
        <family val="2"/>
        <charset val="136"/>
      </rPr>
      <t>客訴處理暨售後服務作業</t>
    </r>
    <phoneticPr fontId="2" type="noConversion"/>
  </si>
  <si>
    <r>
      <rPr>
        <sz val="12"/>
        <rFont val="微軟正黑體"/>
        <family val="2"/>
        <charset val="136"/>
      </rPr>
      <t>市場行銷與溝通</t>
    </r>
  </si>
  <si>
    <r>
      <rPr>
        <sz val="12"/>
        <rFont val="微軟正黑體"/>
        <family val="2"/>
        <charset val="136"/>
      </rPr>
      <t>客戶關係／客戶支援</t>
    </r>
  </si>
  <si>
    <r>
      <rPr>
        <sz val="12"/>
        <rFont val="微軟正黑體"/>
        <family val="2"/>
        <charset val="136"/>
      </rPr>
      <t>退貨</t>
    </r>
  </si>
  <si>
    <r>
      <rPr>
        <sz val="12"/>
        <rFont val="微軟正黑體"/>
        <family val="2"/>
        <charset val="136"/>
      </rPr>
      <t>定義不清和無法執行的退貨與授信政策</t>
    </r>
  </si>
  <si>
    <r>
      <rPr>
        <sz val="12"/>
        <rFont val="微軟正黑體"/>
        <family val="2"/>
        <charset val="136"/>
      </rPr>
      <t>經權責單位核定退回之貨品應與退回入庫之數量一致。</t>
    </r>
    <phoneticPr fontId="2" type="noConversion"/>
  </si>
  <si>
    <t xml:space="preserve">Receivables, Sales </t>
    <phoneticPr fontId="3" type="noConversion"/>
  </si>
  <si>
    <r>
      <rPr>
        <sz val="12"/>
        <rFont val="微軟正黑體"/>
        <family val="2"/>
        <charset val="136"/>
      </rPr>
      <t>企業責任與永續發展</t>
    </r>
  </si>
  <si>
    <r>
      <rPr>
        <sz val="12"/>
        <rFont val="微軟正黑體"/>
        <family val="2"/>
        <charset val="136"/>
      </rPr>
      <t>減少廢料與閉路式生產</t>
    </r>
  </si>
  <si>
    <r>
      <rPr>
        <sz val="12"/>
        <rFont val="微軟正黑體"/>
        <family val="2"/>
        <charset val="136"/>
      </rPr>
      <t>廢料處理／回收／報廢不適當</t>
    </r>
  </si>
  <si>
    <r>
      <rPr>
        <sz val="12"/>
        <rFont val="微軟正黑體"/>
        <family val="2"/>
        <charset val="136"/>
      </rPr>
      <t>產品銷毀應皆依據相關程序，並經權責主管核准後執行。</t>
    </r>
    <phoneticPr fontId="2" type="noConversion"/>
  </si>
  <si>
    <r>
      <rPr>
        <sz val="12"/>
        <rFont val="微軟正黑體"/>
        <family val="2"/>
        <charset val="136"/>
      </rPr>
      <t>每季</t>
    </r>
    <phoneticPr fontId="2" type="noConversion"/>
  </si>
  <si>
    <r>
      <rPr>
        <sz val="12"/>
        <rFont val="微軟正黑體"/>
        <family val="2"/>
        <charset val="136"/>
      </rPr>
      <t>缺乏監督計劃及預算之能力</t>
    </r>
  </si>
  <si>
    <r>
      <rPr>
        <b/>
        <sz val="12"/>
        <rFont val="微軟正黑體"/>
        <family val="2"/>
        <charset val="136"/>
      </rPr>
      <t>流程負責單位</t>
    </r>
    <phoneticPr fontId="2" type="noConversion"/>
  </si>
  <si>
    <r>
      <rPr>
        <sz val="12"/>
        <rFont val="微軟正黑體"/>
        <family val="2"/>
        <charset val="136"/>
      </rPr>
      <t>每週／每月／
每季</t>
    </r>
    <phoneticPr fontId="2" type="noConversion"/>
  </si>
  <si>
    <r>
      <rPr>
        <sz val="12"/>
        <rFont val="微軟正黑體"/>
        <family val="2"/>
        <charset val="136"/>
      </rPr>
      <t>年度銷售預算計畫</t>
    </r>
    <phoneticPr fontId="5" type="noConversion"/>
  </si>
  <si>
    <r>
      <rPr>
        <sz val="12"/>
        <rFont val="微軟正黑體"/>
        <family val="2"/>
        <charset val="136"/>
      </rPr>
      <t>業務單位</t>
    </r>
    <phoneticPr fontId="5" type="noConversion"/>
  </si>
  <si>
    <t>SPM</t>
    <phoneticPr fontId="5" type="noConversion"/>
  </si>
  <si>
    <t>ERP</t>
    <phoneticPr fontId="5" type="noConversion"/>
  </si>
  <si>
    <r>
      <rPr>
        <b/>
        <sz val="12"/>
        <rFont val="微軟正黑體"/>
        <family val="2"/>
        <charset val="136"/>
      </rPr>
      <t>相關資訊系統</t>
    </r>
    <phoneticPr fontId="3" type="noConversion"/>
  </si>
  <si>
    <r>
      <rPr>
        <sz val="12"/>
        <rFont val="微軟正黑體"/>
        <family val="2"/>
        <charset val="136"/>
      </rPr>
      <t>公司已制訂「授信作業管理辦法」，公布於公司內部網站，依據該辦法規定實施信用額度申請及變更等作業。</t>
    </r>
    <phoneticPr fontId="5" type="noConversion"/>
  </si>
  <si>
    <r>
      <rPr>
        <sz val="12"/>
        <rFont val="微軟正黑體"/>
        <family val="2"/>
        <charset val="136"/>
      </rPr>
      <t>財務單位</t>
    </r>
    <phoneticPr fontId="5" type="noConversion"/>
  </si>
  <si>
    <r>
      <rPr>
        <sz val="12"/>
        <rFont val="微軟正黑體"/>
        <family val="2"/>
        <charset val="136"/>
      </rPr>
      <t>業務支援單位</t>
    </r>
    <phoneticPr fontId="5" type="noConversion"/>
  </si>
  <si>
    <r>
      <rPr>
        <b/>
        <sz val="12"/>
        <rFont val="微軟正黑體"/>
        <family val="2"/>
        <charset val="136"/>
      </rPr>
      <t xml:space="preserve">風險面向
</t>
    </r>
    <r>
      <rPr>
        <b/>
        <sz val="12"/>
        <rFont val="Calibri"/>
        <family val="2"/>
      </rPr>
      <t>(Risk Principle)</t>
    </r>
    <phoneticPr fontId="3" type="noConversion"/>
  </si>
  <si>
    <r>
      <rPr>
        <b/>
        <sz val="12"/>
        <rFont val="微軟正黑體"/>
        <family val="2"/>
        <charset val="136"/>
      </rPr>
      <t xml:space="preserve">風險描述
</t>
    </r>
    <r>
      <rPr>
        <b/>
        <sz val="12"/>
        <rFont val="Calibri"/>
        <family val="2"/>
      </rPr>
      <t>(Risk Description)</t>
    </r>
    <phoneticPr fontId="3" type="noConversion"/>
  </si>
  <si>
    <r>
      <rPr>
        <b/>
        <sz val="12"/>
        <rFont val="微軟正黑體"/>
        <family val="2"/>
        <charset val="136"/>
      </rPr>
      <t>風險類別
（報導面</t>
    </r>
    <r>
      <rPr>
        <b/>
        <sz val="12"/>
        <rFont val="Calibri"/>
        <family val="2"/>
      </rPr>
      <t>/</t>
    </r>
    <r>
      <rPr>
        <b/>
        <sz val="12"/>
        <rFont val="微軟正黑體"/>
        <family val="2"/>
        <charset val="136"/>
      </rPr>
      <t>營運面</t>
    </r>
    <r>
      <rPr>
        <b/>
        <sz val="12"/>
        <rFont val="Calibri"/>
        <family val="2"/>
      </rPr>
      <t>/</t>
    </r>
    <r>
      <rPr>
        <b/>
        <sz val="12"/>
        <rFont val="微軟正黑體"/>
        <family val="2"/>
        <charset val="136"/>
      </rPr>
      <t>遵循面）</t>
    </r>
    <phoneticPr fontId="3" type="noConversion"/>
  </si>
  <si>
    <r>
      <rPr>
        <b/>
        <sz val="12"/>
        <rFont val="微軟正黑體"/>
        <family val="2"/>
        <charset val="136"/>
      </rPr>
      <t>控制類型
（人工</t>
    </r>
    <r>
      <rPr>
        <b/>
        <sz val="12"/>
        <rFont val="Calibri"/>
        <family val="2"/>
      </rPr>
      <t>/</t>
    </r>
    <r>
      <rPr>
        <b/>
        <sz val="12"/>
        <rFont val="微軟正黑體"/>
        <family val="2"/>
        <charset val="136"/>
      </rPr>
      <t>自動）</t>
    </r>
    <phoneticPr fontId="3" type="noConversion"/>
  </si>
  <si>
    <r>
      <rPr>
        <b/>
        <sz val="12"/>
        <rFont val="微軟正黑體"/>
        <family val="2"/>
        <charset val="136"/>
      </rPr>
      <t>控制活動類型
（預防性控制</t>
    </r>
    <r>
      <rPr>
        <b/>
        <sz val="12"/>
        <rFont val="Calibri"/>
        <family val="2"/>
      </rPr>
      <t>/</t>
    </r>
    <r>
      <rPr>
        <b/>
        <sz val="12"/>
        <rFont val="微軟正黑體"/>
        <family val="2"/>
        <charset val="136"/>
      </rPr>
      <t>偵測性控制）</t>
    </r>
    <phoneticPr fontId="3" type="noConversion"/>
  </si>
  <si>
    <r>
      <rPr>
        <sz val="12"/>
        <rFont val="微軟正黑體"/>
        <family val="2"/>
        <charset val="136"/>
      </rPr>
      <t>輝能科技</t>
    </r>
    <phoneticPr fontId="5" type="noConversion"/>
  </si>
  <si>
    <r>
      <rPr>
        <sz val="12"/>
        <rFont val="微軟正黑體"/>
        <family val="2"/>
        <charset val="136"/>
      </rPr>
      <t>報價權責人員於輸入價格主檔前應確認客戶回覆之報價單或</t>
    </r>
    <r>
      <rPr>
        <sz val="12"/>
        <rFont val="Calibri"/>
        <family val="2"/>
      </rPr>
      <t>PO</t>
    </r>
    <r>
      <rPr>
        <sz val="12"/>
        <rFont val="微軟正黑體"/>
        <family val="2"/>
        <charset val="136"/>
      </rPr>
      <t>與原始報價資料之一致性，並由第三人確認輸入資料之完整性及正確性。</t>
    </r>
    <phoneticPr fontId="2" type="noConversion"/>
  </si>
  <si>
    <r>
      <t>ERP</t>
    </r>
    <r>
      <rPr>
        <sz val="12"/>
        <rFont val="微軟正黑體"/>
        <family val="2"/>
        <charset val="136"/>
      </rPr>
      <t>應限制僅有經授權之人員始能新增、修改或刪除</t>
    </r>
    <r>
      <rPr>
        <sz val="12"/>
        <rFont val="Calibri"/>
        <family val="2"/>
      </rPr>
      <t>Sales Orders</t>
    </r>
    <r>
      <rPr>
        <sz val="12"/>
        <rFont val="微軟正黑體"/>
        <family val="2"/>
        <charset val="136"/>
      </rPr>
      <t>。</t>
    </r>
    <phoneticPr fontId="2" type="noConversion"/>
  </si>
  <si>
    <r>
      <t>ERP</t>
    </r>
    <r>
      <rPr>
        <sz val="12"/>
        <rFont val="微軟正黑體"/>
        <family val="2"/>
        <charset val="136"/>
      </rPr>
      <t>應限制僅有經授權之人員始能異動</t>
    </r>
    <r>
      <rPr>
        <sz val="12"/>
        <rFont val="Calibri"/>
        <family val="2"/>
      </rPr>
      <t>ERP</t>
    </r>
    <r>
      <rPr>
        <sz val="12"/>
        <rFont val="微軟正黑體"/>
        <family val="2"/>
        <charset val="136"/>
      </rPr>
      <t>之銷售價格資訊。</t>
    </r>
    <phoneticPr fontId="2" type="noConversion"/>
  </si>
  <si>
    <r>
      <rPr>
        <sz val="12"/>
        <rFont val="微軟正黑體"/>
        <family val="2"/>
        <charset val="136"/>
      </rPr>
      <t>權責主管應定期覆核系統產生之已開立</t>
    </r>
    <r>
      <rPr>
        <sz val="12"/>
        <rFont val="Calibri"/>
        <family val="2"/>
      </rPr>
      <t>Billing Invoice</t>
    </r>
    <r>
      <rPr>
        <sz val="12"/>
        <rFont val="微軟正黑體"/>
        <family val="2"/>
        <charset val="136"/>
      </rPr>
      <t>但未過帳明細，並分析其差異原因。</t>
    </r>
    <phoneticPr fontId="2" type="noConversion"/>
  </si>
  <si>
    <r>
      <rPr>
        <sz val="12"/>
        <rFont val="微軟正黑體"/>
        <family val="2"/>
        <charset val="136"/>
      </rPr>
      <t>系統針對所有開立之</t>
    </r>
    <r>
      <rPr>
        <sz val="12"/>
        <rFont val="Calibri"/>
        <family val="2"/>
      </rPr>
      <t>Billing Invoice</t>
    </r>
    <r>
      <rPr>
        <sz val="12"/>
        <rFont val="微軟正黑體"/>
        <family val="2"/>
        <charset val="136"/>
      </rPr>
      <t>應自動拋轉，認列銷貨收入及應收帳款科目。</t>
    </r>
    <phoneticPr fontId="2" type="noConversion"/>
  </si>
  <si>
    <r>
      <rPr>
        <sz val="12"/>
        <rFont val="微軟正黑體"/>
        <family val="2"/>
        <charset val="136"/>
      </rPr>
      <t>財務</t>
    </r>
    <r>
      <rPr>
        <sz val="12"/>
        <rFont val="Calibri"/>
        <family val="2"/>
      </rPr>
      <t xml:space="preserve">/
</t>
    </r>
    <r>
      <rPr>
        <sz val="12"/>
        <rFont val="微軟正黑體"/>
        <family val="2"/>
        <charset val="136"/>
      </rPr>
      <t>企業資產</t>
    </r>
    <phoneticPr fontId="2" type="noConversion"/>
  </si>
  <si>
    <r>
      <rPr>
        <sz val="12"/>
        <rFont val="微軟正黑體"/>
        <family val="2"/>
        <charset val="136"/>
      </rPr>
      <t>會計</t>
    </r>
    <r>
      <rPr>
        <sz val="12"/>
        <rFont val="Calibri"/>
        <family val="2"/>
      </rPr>
      <t xml:space="preserve">/
</t>
    </r>
    <r>
      <rPr>
        <sz val="12"/>
        <rFont val="微軟正黑體"/>
        <family val="2"/>
        <charset val="136"/>
      </rPr>
      <t>流程管理</t>
    </r>
    <phoneticPr fontId="2" type="noConversion"/>
  </si>
  <si>
    <r>
      <rPr>
        <sz val="12"/>
        <rFont val="微軟正黑體"/>
        <family val="2"/>
        <charset val="136"/>
      </rPr>
      <t>不實的財務資訊</t>
    </r>
    <r>
      <rPr>
        <sz val="12"/>
        <rFont val="Calibri"/>
        <family val="2"/>
      </rPr>
      <t xml:space="preserve">/
</t>
    </r>
    <r>
      <rPr>
        <sz val="12"/>
        <rFont val="微軟正黑體"/>
        <family val="2"/>
        <charset val="136"/>
      </rPr>
      <t>無法追踪資產及相關資訊</t>
    </r>
    <phoneticPr fontId="2" type="noConversion"/>
  </si>
  <si>
    <r>
      <rPr>
        <sz val="12"/>
        <rFont val="微軟正黑體"/>
        <family val="2"/>
        <charset val="136"/>
      </rPr>
      <t>若有提供客戶現金折讓</t>
    </r>
    <r>
      <rPr>
        <sz val="12"/>
        <rFont val="Calibri"/>
        <family val="2"/>
      </rPr>
      <t>(Cash Discount)</t>
    </r>
    <r>
      <rPr>
        <sz val="12"/>
        <rFont val="微軟正黑體"/>
        <family val="2"/>
        <charset val="136"/>
      </rPr>
      <t>，則應被正確計算及紀錄。</t>
    </r>
  </si>
  <si>
    <r>
      <rPr>
        <sz val="12"/>
        <rFont val="微軟正黑體"/>
        <family val="2"/>
        <charset val="136"/>
      </rPr>
      <t>客戶關係管理欠佳</t>
    </r>
    <r>
      <rPr>
        <sz val="12"/>
        <rFont val="Calibri"/>
        <family val="2"/>
      </rPr>
      <t xml:space="preserve">/
</t>
    </r>
    <r>
      <rPr>
        <sz val="12"/>
        <rFont val="微軟正黑體"/>
        <family val="2"/>
        <charset val="136"/>
      </rPr>
      <t>不重視客戶滿意度</t>
    </r>
    <phoneticPr fontId="2" type="noConversion"/>
  </si>
  <si>
    <t>Sales Order</t>
    <phoneticPr fontId="5" type="noConversion"/>
  </si>
  <si>
    <t>E-mail</t>
  </si>
  <si>
    <t>CS103-2</t>
  </si>
  <si>
    <t>CS103-3</t>
  </si>
  <si>
    <t>CS106-4</t>
  </si>
  <si>
    <t>CS106-5</t>
  </si>
  <si>
    <t>CS107-3</t>
  </si>
  <si>
    <r>
      <rPr>
        <sz val="12"/>
        <rFont val="微軟正黑體"/>
        <family val="2"/>
        <charset val="136"/>
      </rPr>
      <t>公司目前未採用價格主檔，故此控制點不適用。</t>
    </r>
    <phoneticPr fontId="5" type="noConversion"/>
  </si>
  <si>
    <t>Delivery Note</t>
    <phoneticPr fontId="5" type="noConversion"/>
  </si>
  <si>
    <r>
      <rPr>
        <sz val="12"/>
        <rFont val="微軟正黑體"/>
        <family val="2"/>
        <charset val="136"/>
      </rPr>
      <t>倉管單位</t>
    </r>
    <phoneticPr fontId="5" type="noConversion"/>
  </si>
  <si>
    <r>
      <rPr>
        <sz val="12"/>
        <rFont val="微軟正黑體"/>
        <family val="2"/>
        <charset val="136"/>
      </rPr>
      <t>特殊或非常規之客戶訂單價格未談定前不應放行出貨。</t>
    </r>
    <phoneticPr fontId="3" type="noConversion"/>
  </si>
  <si>
    <r>
      <rPr>
        <sz val="12"/>
        <rFont val="微軟正黑體"/>
        <family val="2"/>
        <charset val="136"/>
      </rPr>
      <t>品保單位</t>
    </r>
    <phoneticPr fontId="5" type="noConversion"/>
  </si>
  <si>
    <r>
      <rPr>
        <sz val="12"/>
        <rFont val="微軟正黑體"/>
        <family val="2"/>
        <charset val="136"/>
      </rPr>
      <t>會計單位權責人員每月結帳時編製「營收調節表」，核對收入金額及應稅金額，以確認所有應開立發票之銷貨皆有開立發票。</t>
    </r>
    <phoneticPr fontId="2" type="noConversion"/>
  </si>
  <si>
    <r>
      <rPr>
        <sz val="12"/>
        <rFont val="微軟正黑體"/>
        <family val="2"/>
        <charset val="136"/>
      </rPr>
      <t>有效</t>
    </r>
    <phoneticPr fontId="5" type="noConversion"/>
  </si>
  <si>
    <t>CS101</t>
  </si>
  <si>
    <t>CS101-1</t>
  </si>
  <si>
    <t>CS101-2</t>
  </si>
  <si>
    <t>CS101-3</t>
  </si>
  <si>
    <t>CS102</t>
  </si>
  <si>
    <t>CS102-1</t>
  </si>
  <si>
    <t>CS102-2</t>
  </si>
  <si>
    <t>CS103</t>
  </si>
  <si>
    <t>CS103-1</t>
  </si>
  <si>
    <t>CS104</t>
  </si>
  <si>
    <t>CS104-1</t>
  </si>
  <si>
    <t>CS104-2</t>
  </si>
  <si>
    <t>CS104-3</t>
  </si>
  <si>
    <t>CS104-4</t>
  </si>
  <si>
    <t>CS104-5</t>
  </si>
  <si>
    <t>CS104-6</t>
  </si>
  <si>
    <t>CS105</t>
  </si>
  <si>
    <t>CS105-1</t>
  </si>
  <si>
    <t>CS105-2</t>
  </si>
  <si>
    <t>CS105-3</t>
  </si>
  <si>
    <t>CS105-4</t>
  </si>
  <si>
    <t>CS105-5</t>
  </si>
  <si>
    <t>CS105-6</t>
  </si>
  <si>
    <t>CS105-7</t>
  </si>
  <si>
    <t>Refer to CS105-6</t>
  </si>
  <si>
    <t>CS106</t>
  </si>
  <si>
    <t>CS106-1</t>
  </si>
  <si>
    <t>CS106-2</t>
  </si>
  <si>
    <t>CS106-3</t>
  </si>
  <si>
    <t>CS106-6</t>
  </si>
  <si>
    <t>CS106-7</t>
  </si>
  <si>
    <t>CS107</t>
  </si>
  <si>
    <t>CS107-1</t>
  </si>
  <si>
    <t>CS107-2</t>
  </si>
  <si>
    <t>CS107-4</t>
  </si>
  <si>
    <t>CS107-5</t>
  </si>
  <si>
    <t>CS107-6</t>
  </si>
  <si>
    <t>CS107-7</t>
  </si>
  <si>
    <t>CS107-8</t>
  </si>
  <si>
    <t>CS107-9</t>
  </si>
  <si>
    <t>CS107-10</t>
  </si>
  <si>
    <t>CS107-11</t>
  </si>
  <si>
    <t>CS108</t>
  </si>
  <si>
    <t>CS108-1</t>
  </si>
  <si>
    <t>CS108-2</t>
  </si>
  <si>
    <t>CS108-3</t>
  </si>
  <si>
    <t>CS108-4</t>
  </si>
  <si>
    <t>CS108-5</t>
  </si>
  <si>
    <t>CS109</t>
  </si>
  <si>
    <t>CS109-1</t>
  </si>
  <si>
    <t>CS109-2</t>
  </si>
  <si>
    <t>CS109-3</t>
  </si>
  <si>
    <t>CS109-4</t>
  </si>
  <si>
    <t>CS109-5</t>
  </si>
  <si>
    <t>CS110</t>
  </si>
  <si>
    <t>CS110-1</t>
  </si>
  <si>
    <t>CS110-2</t>
  </si>
  <si>
    <t>CS110-3</t>
  </si>
  <si>
    <t>CS111</t>
  </si>
  <si>
    <t>CS111-1</t>
  </si>
  <si>
    <t>CS111-2</t>
  </si>
  <si>
    <t>CS111-3</t>
  </si>
  <si>
    <t>CS111-4</t>
  </si>
  <si>
    <t>CS111-5</t>
  </si>
  <si>
    <t>CS111-6</t>
  </si>
  <si>
    <t>CS111-7</t>
  </si>
  <si>
    <t>CS111-8</t>
  </si>
  <si>
    <t>CS112</t>
  </si>
  <si>
    <t>CS112-1</t>
  </si>
  <si>
    <t>CS112-2</t>
  </si>
  <si>
    <t>CS112-3</t>
  </si>
  <si>
    <t>CS113</t>
  </si>
  <si>
    <t>CS113-1</t>
  </si>
  <si>
    <r>
      <rPr>
        <sz val="12"/>
        <rFont val="微軟正黑體"/>
        <family val="2"/>
        <charset val="136"/>
      </rPr>
      <t>久未交易客戶覆核及凍結記錄</t>
    </r>
    <phoneticPr fontId="5" type="noConversion"/>
  </si>
  <si>
    <r>
      <rPr>
        <b/>
        <sz val="12"/>
        <color rgb="FF000000"/>
        <rFont val="微軟正黑體"/>
        <family val="2"/>
        <charset val="136"/>
      </rPr>
      <t>自評人</t>
    </r>
    <phoneticPr fontId="26" type="noConversion"/>
  </si>
  <si>
    <r>
      <rPr>
        <b/>
        <sz val="12"/>
        <color rgb="FF000000"/>
        <rFont val="微軟正黑體"/>
        <family val="2"/>
        <charset val="136"/>
      </rPr>
      <t>自評人之權責主管</t>
    </r>
    <phoneticPr fontId="26" type="noConversion"/>
  </si>
  <si>
    <r>
      <rPr>
        <b/>
        <sz val="12"/>
        <color rgb="FF000000"/>
        <rFont val="微軟正黑體"/>
        <family val="2"/>
        <charset val="136"/>
      </rPr>
      <t>單位</t>
    </r>
    <phoneticPr fontId="2" type="noConversion"/>
  </si>
  <si>
    <r>
      <rPr>
        <b/>
        <sz val="12"/>
        <color rgb="FF000000"/>
        <rFont val="微軟正黑體"/>
        <family val="2"/>
        <charset val="136"/>
      </rPr>
      <t>工號</t>
    </r>
  </si>
  <si>
    <r>
      <rPr>
        <b/>
        <sz val="12"/>
        <color rgb="FF000000"/>
        <rFont val="微軟正黑體"/>
        <family val="2"/>
        <charset val="136"/>
      </rPr>
      <t>姓名</t>
    </r>
  </si>
  <si>
    <r>
      <rPr>
        <b/>
        <sz val="12"/>
        <color rgb="FF000000"/>
        <rFont val="微軟正黑體"/>
        <family val="2"/>
        <charset val="136"/>
      </rPr>
      <t>分機</t>
    </r>
    <phoneticPr fontId="2" type="noConversion"/>
  </si>
  <si>
    <r>
      <rPr>
        <b/>
        <sz val="12"/>
        <rFont val="微軟正黑體"/>
        <family val="2"/>
        <charset val="136"/>
      </rPr>
      <t>控制分析與評估</t>
    </r>
    <phoneticPr fontId="5" type="noConversion"/>
  </si>
  <si>
    <r>
      <rPr>
        <sz val="12"/>
        <rFont val="微軟正黑體"/>
        <family val="2"/>
        <charset val="136"/>
      </rPr>
      <t>非存貨倉報廢簽呈</t>
    </r>
    <phoneticPr fontId="5" type="noConversion"/>
  </si>
  <si>
    <r>
      <rPr>
        <sz val="12"/>
        <rFont val="微軟正黑體"/>
        <family val="2"/>
        <charset val="136"/>
      </rPr>
      <t>客戶基本資料表</t>
    </r>
    <phoneticPr fontId="5" type="noConversion"/>
  </si>
  <si>
    <r>
      <rPr>
        <sz val="12"/>
        <rFont val="微軟正黑體"/>
        <family val="2"/>
        <charset val="136"/>
      </rPr>
      <t>客戶主檔異動明細覆核紀錄</t>
    </r>
    <phoneticPr fontId="5" type="noConversion"/>
  </si>
  <si>
    <t>Rolling Forecast</t>
    <phoneticPr fontId="5" type="noConversion"/>
  </si>
  <si>
    <t>Refer to CS105-6</t>
    <phoneticPr fontId="5" type="noConversion"/>
  </si>
  <si>
    <r>
      <rPr>
        <sz val="12"/>
        <rFont val="微軟正黑體"/>
        <family val="2"/>
        <charset val="136"/>
      </rPr>
      <t>統一發票</t>
    </r>
    <phoneticPr fontId="5" type="noConversion"/>
  </si>
  <si>
    <r>
      <rPr>
        <sz val="12"/>
        <rFont val="微軟正黑體"/>
        <family val="2"/>
        <charset val="136"/>
      </rPr>
      <t>會計單位</t>
    </r>
    <phoneticPr fontId="5" type="noConversion"/>
  </si>
  <si>
    <r>
      <rPr>
        <sz val="12"/>
        <rFont val="微軟正黑體"/>
        <family val="2"/>
        <charset val="136"/>
      </rPr>
      <t>請款文件清單覆核紀錄</t>
    </r>
    <phoneticPr fontId="5" type="noConversion"/>
  </si>
  <si>
    <r>
      <rPr>
        <sz val="12"/>
        <rFont val="微軟正黑體"/>
        <family val="2"/>
        <charset val="136"/>
      </rPr>
      <t>已出貨但尚未產生請款文件清單覆核紀錄</t>
    </r>
    <phoneticPr fontId="5" type="noConversion"/>
  </si>
  <si>
    <r>
      <rPr>
        <sz val="12"/>
        <rFont val="微軟正黑體"/>
        <family val="2"/>
        <charset val="136"/>
      </rPr>
      <t>營業人銷貨退回折讓證明單</t>
    </r>
    <phoneticPr fontId="5" type="noConversion"/>
  </si>
  <si>
    <r>
      <rPr>
        <sz val="12"/>
        <rFont val="微軟正黑體"/>
        <family val="2"/>
        <charset val="136"/>
      </rPr>
      <t>營收調節表</t>
    </r>
    <phoneticPr fontId="5" type="noConversion"/>
  </si>
  <si>
    <r>
      <rPr>
        <sz val="12"/>
        <rFont val="微軟正黑體"/>
        <family val="2"/>
        <charset val="136"/>
      </rPr>
      <t>取消請款文件申請</t>
    </r>
    <phoneticPr fontId="5" type="noConversion"/>
  </si>
  <si>
    <r>
      <rPr>
        <sz val="12"/>
        <rFont val="微軟正黑體"/>
        <family val="2"/>
        <charset val="136"/>
      </rPr>
      <t>對帳單</t>
    </r>
    <phoneticPr fontId="5" type="noConversion"/>
  </si>
  <si>
    <r>
      <rPr>
        <sz val="12"/>
        <rFont val="微軟正黑體"/>
        <family val="2"/>
        <charset val="136"/>
      </rPr>
      <t>業務支援單位每週週會報告應收帳款狀態，若有逾期應收帳款亦於週會中確認逾期原因，並由業務單位向客戶催收。</t>
    </r>
    <phoneticPr fontId="5" type="noConversion"/>
  </si>
  <si>
    <r>
      <rPr>
        <sz val="12"/>
        <color theme="1"/>
        <rFont val="微軟正黑體"/>
        <family val="2"/>
        <charset val="136"/>
      </rPr>
      <t>週會報告</t>
    </r>
    <phoneticPr fontId="5" type="noConversion"/>
  </si>
  <si>
    <r>
      <rPr>
        <sz val="12"/>
        <rFont val="微軟正黑體"/>
        <family val="2"/>
        <charset val="136"/>
      </rPr>
      <t>備抵呆帳入帳傳票</t>
    </r>
    <phoneticPr fontId="5" type="noConversion"/>
  </si>
  <si>
    <r>
      <rPr>
        <sz val="12"/>
        <rFont val="微軟正黑體"/>
        <family val="2"/>
        <charset val="136"/>
      </rPr>
      <t>簽呈</t>
    </r>
    <phoneticPr fontId="5" type="noConversion"/>
  </si>
  <si>
    <r>
      <rPr>
        <sz val="12"/>
        <rFont val="微軟正黑體"/>
        <family val="2"/>
        <charset val="136"/>
      </rPr>
      <t>應收票據登記表</t>
    </r>
    <phoneticPr fontId="5" type="noConversion"/>
  </si>
  <si>
    <r>
      <rPr>
        <sz val="12"/>
        <rFont val="微軟正黑體"/>
        <family val="2"/>
        <charset val="136"/>
      </rPr>
      <t>暫收款傳票</t>
    </r>
    <phoneticPr fontId="5" type="noConversion"/>
  </si>
  <si>
    <r>
      <t xml:space="preserve">1. Credit Note
2. </t>
    </r>
    <r>
      <rPr>
        <sz val="12"/>
        <rFont val="微軟正黑體"/>
        <family val="2"/>
        <charset val="136"/>
      </rPr>
      <t>現金折讓傳票</t>
    </r>
    <phoneticPr fontId="5" type="noConversion"/>
  </si>
  <si>
    <t>Refer to CS107-4</t>
    <phoneticPr fontId="5" type="noConversion"/>
  </si>
  <si>
    <t>Refer to CS103-1</t>
    <phoneticPr fontId="5" type="noConversion"/>
  </si>
  <si>
    <t>Version:</t>
  </si>
  <si>
    <r>
      <t xml:space="preserve">A. </t>
    </r>
    <r>
      <rPr>
        <b/>
        <sz val="14"/>
        <color theme="0"/>
        <rFont val="微軟正黑體"/>
        <family val="2"/>
        <charset val="136"/>
      </rPr>
      <t>文件控管資訊</t>
    </r>
    <phoneticPr fontId="18" type="noConversion"/>
  </si>
  <si>
    <r>
      <t xml:space="preserve">a. </t>
    </r>
    <r>
      <rPr>
        <b/>
        <sz val="12"/>
        <color rgb="FF002776"/>
        <rFont val="微軟正黑體"/>
        <family val="2"/>
        <charset val="136"/>
      </rPr>
      <t>文件資訊</t>
    </r>
    <phoneticPr fontId="3" type="noConversion"/>
  </si>
  <si>
    <r>
      <rPr>
        <b/>
        <sz val="10"/>
        <rFont val="微軟正黑體"/>
        <family val="2"/>
        <charset val="136"/>
      </rPr>
      <t>文件編號</t>
    </r>
  </si>
  <si>
    <r>
      <t>&lt;</t>
    </r>
    <r>
      <rPr>
        <sz val="10"/>
        <color rgb="FF333333"/>
        <rFont val="微軟正黑體"/>
        <family val="2"/>
        <charset val="136"/>
      </rPr>
      <t>文件編號</t>
    </r>
    <r>
      <rPr>
        <sz val="10"/>
        <color rgb="FF333333"/>
        <rFont val="Calibri"/>
        <family val="2"/>
      </rPr>
      <t>&gt;</t>
    </r>
    <phoneticPr fontId="18" type="noConversion"/>
  </si>
  <si>
    <r>
      <rPr>
        <b/>
        <sz val="10"/>
        <rFont val="微軟正黑體"/>
        <family val="2"/>
        <charset val="136"/>
      </rPr>
      <t>文件名稱</t>
    </r>
  </si>
  <si>
    <r>
      <rPr>
        <b/>
        <sz val="10"/>
        <rFont val="微軟正黑體"/>
        <family val="2"/>
        <charset val="136"/>
      </rPr>
      <t>公司名稱</t>
    </r>
    <phoneticPr fontId="3" type="noConversion"/>
  </si>
  <si>
    <r>
      <rPr>
        <sz val="10"/>
        <color rgb="FF333333"/>
        <rFont val="微軟正黑體"/>
        <family val="2"/>
        <charset val="136"/>
      </rPr>
      <t>輝能科技股份有限公司</t>
    </r>
    <phoneticPr fontId="18" type="noConversion"/>
  </si>
  <si>
    <r>
      <rPr>
        <b/>
        <sz val="10"/>
        <rFont val="微軟正黑體"/>
        <family val="2"/>
        <charset val="136"/>
      </rPr>
      <t>文件作者</t>
    </r>
  </si>
  <si>
    <r>
      <t>&lt;</t>
    </r>
    <r>
      <rPr>
        <sz val="10"/>
        <color rgb="FF333333"/>
        <rFont val="微軟正黑體"/>
        <family val="2"/>
        <charset val="136"/>
      </rPr>
      <t>作者姓名</t>
    </r>
    <r>
      <rPr>
        <sz val="10"/>
        <color rgb="FF333333"/>
        <rFont val="Calibri"/>
        <family val="2"/>
      </rPr>
      <t>&gt;</t>
    </r>
    <phoneticPr fontId="18" type="noConversion"/>
  </si>
  <si>
    <r>
      <rPr>
        <b/>
        <sz val="10"/>
        <rFont val="微軟正黑體"/>
        <family val="2"/>
        <charset val="136"/>
      </rPr>
      <t>文件版序</t>
    </r>
  </si>
  <si>
    <r>
      <t>&lt;</t>
    </r>
    <r>
      <rPr>
        <sz val="10"/>
        <color rgb="FF333333"/>
        <rFont val="微軟正黑體"/>
        <family val="2"/>
        <charset val="136"/>
      </rPr>
      <t>版本</t>
    </r>
    <r>
      <rPr>
        <sz val="10"/>
        <color rgb="FF333333"/>
        <rFont val="Calibri"/>
        <family val="2"/>
      </rPr>
      <t>&gt;</t>
    </r>
    <phoneticPr fontId="18" type="noConversion"/>
  </si>
  <si>
    <r>
      <rPr>
        <b/>
        <sz val="10"/>
        <rFont val="微軟正黑體"/>
        <family val="2"/>
        <charset val="136"/>
      </rPr>
      <t>文件狀態</t>
    </r>
  </si>
  <si>
    <r>
      <t>&lt;</t>
    </r>
    <r>
      <rPr>
        <sz val="10"/>
        <color rgb="FF333333"/>
        <rFont val="微軟正黑體"/>
        <family val="2"/>
        <charset val="136"/>
      </rPr>
      <t>文件狀態</t>
    </r>
    <r>
      <rPr>
        <sz val="10"/>
        <color rgb="FF333333"/>
        <rFont val="Calibri"/>
        <family val="2"/>
      </rPr>
      <t>&gt;</t>
    </r>
    <phoneticPr fontId="18" type="noConversion"/>
  </si>
  <si>
    <r>
      <rPr>
        <b/>
        <sz val="10"/>
        <rFont val="微軟正黑體"/>
        <family val="2"/>
        <charset val="136"/>
      </rPr>
      <t>發佈日期</t>
    </r>
    <phoneticPr fontId="3" type="noConversion"/>
  </si>
  <si>
    <r>
      <t xml:space="preserve">b. </t>
    </r>
    <r>
      <rPr>
        <b/>
        <sz val="12"/>
        <color rgb="FF002776"/>
        <rFont val="微軟正黑體"/>
        <family val="2"/>
        <charset val="136"/>
      </rPr>
      <t>文件修改紀錄</t>
    </r>
    <phoneticPr fontId="18" type="noConversion"/>
  </si>
  <si>
    <r>
      <rPr>
        <b/>
        <sz val="10"/>
        <color indexed="9"/>
        <rFont val="微軟正黑體"/>
        <family val="2"/>
        <charset val="136"/>
      </rPr>
      <t>版本</t>
    </r>
    <phoneticPr fontId="3" type="noConversion"/>
  </si>
  <si>
    <r>
      <rPr>
        <b/>
        <sz val="10"/>
        <color indexed="9"/>
        <rFont val="微軟正黑體"/>
        <family val="2"/>
        <charset val="136"/>
      </rPr>
      <t>日期</t>
    </r>
    <phoneticPr fontId="3" type="noConversion"/>
  </si>
  <si>
    <r>
      <rPr>
        <b/>
        <sz val="10"/>
        <color indexed="9"/>
        <rFont val="微軟正黑體"/>
        <family val="2"/>
        <charset val="136"/>
      </rPr>
      <t>新增</t>
    </r>
    <r>
      <rPr>
        <b/>
        <sz val="10"/>
        <color indexed="9"/>
        <rFont val="Calibri"/>
        <family val="2"/>
      </rPr>
      <t>/</t>
    </r>
    <r>
      <rPr>
        <b/>
        <sz val="10"/>
        <color indexed="9"/>
        <rFont val="微軟正黑體"/>
        <family val="2"/>
        <charset val="136"/>
      </rPr>
      <t>修改之內容概要</t>
    </r>
    <phoneticPr fontId="3" type="noConversion"/>
  </si>
  <si>
    <r>
      <rPr>
        <b/>
        <sz val="10"/>
        <color indexed="9"/>
        <rFont val="微軟正黑體"/>
        <family val="2"/>
        <charset val="136"/>
      </rPr>
      <t>製作</t>
    </r>
    <r>
      <rPr>
        <b/>
        <sz val="10"/>
        <color indexed="9"/>
        <rFont val="Calibri"/>
        <family val="2"/>
      </rPr>
      <t>/</t>
    </r>
    <r>
      <rPr>
        <b/>
        <sz val="10"/>
        <color indexed="9"/>
        <rFont val="微軟正黑體"/>
        <family val="2"/>
        <charset val="136"/>
      </rPr>
      <t>變更人員姓名</t>
    </r>
    <phoneticPr fontId="3" type="noConversion"/>
  </si>
  <si>
    <r>
      <t>&lt;</t>
    </r>
    <r>
      <rPr>
        <sz val="10"/>
        <rFont val="微軟正黑體"/>
        <family val="2"/>
        <charset val="136"/>
      </rPr>
      <t>版本</t>
    </r>
    <r>
      <rPr>
        <sz val="10"/>
        <rFont val="Calibri"/>
        <family val="2"/>
      </rPr>
      <t xml:space="preserve"> #&gt;</t>
    </r>
    <phoneticPr fontId="18" type="noConversion"/>
  </si>
  <si>
    <r>
      <t>&lt;</t>
    </r>
    <r>
      <rPr>
        <sz val="10"/>
        <rFont val="微軟正黑體"/>
        <family val="2"/>
        <charset val="136"/>
      </rPr>
      <t>日</t>
    </r>
    <r>
      <rPr>
        <sz val="10"/>
        <rFont val="Calibri"/>
        <family val="2"/>
      </rPr>
      <t>/</t>
    </r>
    <r>
      <rPr>
        <sz val="10"/>
        <rFont val="微軟正黑體"/>
        <family val="2"/>
        <charset val="136"/>
      </rPr>
      <t>月</t>
    </r>
    <r>
      <rPr>
        <sz val="10"/>
        <rFont val="Calibri"/>
        <family val="2"/>
      </rPr>
      <t>/</t>
    </r>
    <r>
      <rPr>
        <sz val="10"/>
        <rFont val="微軟正黑體"/>
        <family val="2"/>
        <charset val="136"/>
      </rPr>
      <t>年</t>
    </r>
    <r>
      <rPr>
        <sz val="10"/>
        <rFont val="Calibri"/>
        <family val="2"/>
      </rPr>
      <t>&gt;</t>
    </r>
    <phoneticPr fontId="18" type="noConversion"/>
  </si>
  <si>
    <r>
      <t>&lt;</t>
    </r>
    <r>
      <rPr>
        <sz val="10"/>
        <rFont val="微軟正黑體"/>
        <family val="2"/>
        <charset val="136"/>
      </rPr>
      <t>提供此文件版本之相關資訊</t>
    </r>
    <r>
      <rPr>
        <sz val="10"/>
        <rFont val="Calibri"/>
        <family val="2"/>
      </rPr>
      <t xml:space="preserve">&gt; </t>
    </r>
    <phoneticPr fontId="18" type="noConversion"/>
  </si>
  <si>
    <r>
      <t>&lt;</t>
    </r>
    <r>
      <rPr>
        <sz val="10"/>
        <rFont val="微軟正黑體"/>
        <family val="2"/>
        <charset val="136"/>
      </rPr>
      <t>姓名</t>
    </r>
    <r>
      <rPr>
        <sz val="10"/>
        <rFont val="Calibri"/>
        <family val="2"/>
      </rPr>
      <t>&gt;</t>
    </r>
    <phoneticPr fontId="18" type="noConversion"/>
  </si>
  <si>
    <r>
      <t xml:space="preserve">c. </t>
    </r>
    <r>
      <rPr>
        <b/>
        <sz val="12"/>
        <color rgb="FF002776"/>
        <rFont val="微軟正黑體"/>
        <family val="2"/>
        <charset val="136"/>
      </rPr>
      <t>文件覆核紀錄</t>
    </r>
    <phoneticPr fontId="18" type="noConversion"/>
  </si>
  <si>
    <r>
      <rPr>
        <b/>
        <sz val="10"/>
        <color indexed="9"/>
        <rFont val="微軟正黑體"/>
        <family val="2"/>
        <charset val="136"/>
      </rPr>
      <t>姓名</t>
    </r>
    <phoneticPr fontId="3" type="noConversion"/>
  </si>
  <si>
    <r>
      <rPr>
        <b/>
        <sz val="10"/>
        <color indexed="9"/>
        <rFont val="微軟正黑體"/>
        <family val="2"/>
        <charset val="136"/>
      </rPr>
      <t>部門</t>
    </r>
    <r>
      <rPr>
        <b/>
        <sz val="10"/>
        <color indexed="9"/>
        <rFont val="Calibri"/>
        <family val="2"/>
      </rPr>
      <t>/</t>
    </r>
    <r>
      <rPr>
        <b/>
        <sz val="10"/>
        <color indexed="9"/>
        <rFont val="微軟正黑體"/>
        <family val="2"/>
        <charset val="136"/>
      </rPr>
      <t>職稱</t>
    </r>
    <phoneticPr fontId="3" type="noConversion"/>
  </si>
  <si>
    <r>
      <rPr>
        <b/>
        <sz val="10"/>
        <color indexed="9"/>
        <rFont val="微軟正黑體"/>
        <family val="2"/>
        <charset val="136"/>
      </rPr>
      <t>備註</t>
    </r>
    <phoneticPr fontId="3" type="noConversion"/>
  </si>
  <si>
    <r>
      <t>&lt;</t>
    </r>
    <r>
      <rPr>
        <sz val="10"/>
        <rFont val="微軟正黑體"/>
        <family val="2"/>
        <charset val="136"/>
      </rPr>
      <t>部門</t>
    </r>
    <r>
      <rPr>
        <sz val="10"/>
        <rFont val="Calibri"/>
        <family val="2"/>
      </rPr>
      <t>/</t>
    </r>
    <r>
      <rPr>
        <sz val="10"/>
        <rFont val="微軟正黑體"/>
        <family val="2"/>
        <charset val="136"/>
      </rPr>
      <t>職稱</t>
    </r>
    <r>
      <rPr>
        <sz val="10"/>
        <rFont val="Calibri"/>
        <family val="2"/>
      </rPr>
      <t>&gt;</t>
    </r>
  </si>
  <si>
    <r>
      <t>&lt;</t>
    </r>
    <r>
      <rPr>
        <sz val="10"/>
        <rFont val="微軟正黑體"/>
        <family val="2"/>
        <charset val="136"/>
      </rPr>
      <t>意見</t>
    </r>
    <r>
      <rPr>
        <sz val="10"/>
        <rFont val="Calibri"/>
        <family val="2"/>
      </rPr>
      <t>&gt;</t>
    </r>
    <phoneticPr fontId="18" type="noConversion"/>
  </si>
  <si>
    <r>
      <t xml:space="preserve">B. </t>
    </r>
    <r>
      <rPr>
        <b/>
        <sz val="14"/>
        <color theme="0"/>
        <rFont val="微軟正黑體"/>
        <family val="2"/>
        <charset val="136"/>
      </rPr>
      <t>文件內容說明</t>
    </r>
    <phoneticPr fontId="18" type="noConversion"/>
  </si>
  <si>
    <r>
      <t xml:space="preserve">a. </t>
    </r>
    <r>
      <rPr>
        <b/>
        <sz val="12"/>
        <color rgb="FF002776"/>
        <rFont val="微軟正黑體"/>
        <family val="2"/>
        <charset val="136"/>
      </rPr>
      <t>目的說明</t>
    </r>
    <phoneticPr fontId="3" type="noConversion"/>
  </si>
  <si>
    <r>
      <rPr>
        <sz val="10"/>
        <rFont val="微軟正黑體"/>
        <family val="2"/>
        <charset val="136"/>
      </rPr>
      <t>此份文件主要為評估與彙整作業流程中之攸關風險及控制活動，並詳細說明控制活動現況、遵循之法令、使用之控制文件、負責部門、控制活動有效性結論等資訊；若控制活動為無效時，亦包含控制差異說明、可能潛在風險及建議改善方式之資訊</t>
    </r>
    <phoneticPr fontId="18" type="noConversion"/>
  </si>
  <si>
    <r>
      <t xml:space="preserve">b. </t>
    </r>
    <r>
      <rPr>
        <b/>
        <sz val="12"/>
        <color rgb="FF002776"/>
        <rFont val="微軟正黑體"/>
        <family val="2"/>
        <charset val="136"/>
      </rPr>
      <t>工作表說明</t>
    </r>
    <phoneticPr fontId="3" type="noConversion"/>
  </si>
  <si>
    <r>
      <rPr>
        <b/>
        <sz val="10"/>
        <color theme="0"/>
        <rFont val="微軟正黑體"/>
        <family val="2"/>
        <charset val="136"/>
      </rPr>
      <t>工作表編號</t>
    </r>
    <phoneticPr fontId="3" type="noConversion"/>
  </si>
  <si>
    <r>
      <rPr>
        <b/>
        <sz val="10"/>
        <color theme="0"/>
        <rFont val="微軟正黑體"/>
        <family val="2"/>
        <charset val="136"/>
      </rPr>
      <t>工作表名稱</t>
    </r>
    <phoneticPr fontId="3" type="noConversion"/>
  </si>
  <si>
    <r>
      <rPr>
        <b/>
        <sz val="10"/>
        <color theme="0"/>
        <rFont val="微軟正黑體"/>
        <family val="2"/>
        <charset val="136"/>
      </rPr>
      <t>工作表說明</t>
    </r>
    <phoneticPr fontId="3" type="noConversion"/>
  </si>
  <si>
    <t>-</t>
    <phoneticPr fontId="18" type="noConversion"/>
  </si>
  <si>
    <r>
      <rPr>
        <sz val="10"/>
        <color theme="1"/>
        <rFont val="微軟正黑體"/>
        <family val="2"/>
        <charset val="136"/>
      </rPr>
      <t>依循環之作業流程辨識攸關風險、制定控制目標、設計控制活動、描述控制現況描述與相關資訊、評估與紀錄控制活動之有效性，並描述攸關控制活動負責人資訊</t>
    </r>
    <phoneticPr fontId="18" type="noConversion"/>
  </si>
  <si>
    <r>
      <rPr>
        <sz val="10"/>
        <color rgb="FF333333"/>
        <rFont val="微軟正黑體"/>
        <family val="2"/>
        <charset val="136"/>
      </rPr>
      <t>風險控制矩陣（</t>
    </r>
    <r>
      <rPr>
        <sz val="10"/>
        <color rgb="FF333333"/>
        <rFont val="Calibri"/>
        <family val="2"/>
      </rPr>
      <t>RCM</t>
    </r>
    <r>
      <rPr>
        <sz val="10"/>
        <color rgb="FF333333"/>
        <rFont val="微軟正黑體"/>
        <family val="2"/>
        <charset val="136"/>
      </rPr>
      <t>）</t>
    </r>
    <r>
      <rPr>
        <sz val="10"/>
        <color rgb="FF333333"/>
        <rFont val="Calibri"/>
        <family val="2"/>
      </rPr>
      <t>_</t>
    </r>
    <r>
      <rPr>
        <sz val="10"/>
        <color rgb="FF333333"/>
        <rFont val="微軟正黑體"/>
        <family val="2"/>
        <charset val="136"/>
      </rPr>
      <t>銷售及收款循環</t>
    </r>
    <phoneticPr fontId="18" type="noConversion"/>
  </si>
  <si>
    <r>
      <t>RCM_</t>
    </r>
    <r>
      <rPr>
        <sz val="10"/>
        <color rgb="FF000000"/>
        <rFont val="微軟正黑體"/>
        <family val="2"/>
        <charset val="136"/>
      </rPr>
      <t>銷售及收款循環</t>
    </r>
    <phoneticPr fontId="26" type="noConversion"/>
  </si>
  <si>
    <r>
      <rPr>
        <b/>
        <sz val="12"/>
        <rFont val="微軟正黑體"/>
        <family val="2"/>
        <charset val="136"/>
      </rPr>
      <t xml:space="preserve">風險範疇
</t>
    </r>
    <r>
      <rPr>
        <b/>
        <sz val="12"/>
        <rFont val="Calibri"/>
        <family val="2"/>
      </rPr>
      <t>(Risk Area)</t>
    </r>
    <phoneticPr fontId="3" type="noConversion"/>
  </si>
  <si>
    <r>
      <rPr>
        <b/>
        <sz val="12"/>
        <rFont val="微軟正黑體"/>
        <family val="2"/>
        <charset val="136"/>
      </rPr>
      <t xml:space="preserve">風險因素
</t>
    </r>
    <r>
      <rPr>
        <b/>
        <sz val="12"/>
        <rFont val="Calibri"/>
        <family val="2"/>
      </rPr>
      <t>(Risk Factor)</t>
    </r>
    <phoneticPr fontId="2" type="noConversion"/>
  </si>
  <si>
    <r>
      <rPr>
        <sz val="12"/>
        <rFont val="微軟正黑體"/>
        <family val="2"/>
        <charset val="136"/>
      </rPr>
      <t>銷售預測管理辦法（</t>
    </r>
    <r>
      <rPr>
        <sz val="12"/>
        <rFont val="Calibri"/>
        <family val="2"/>
      </rPr>
      <t>S6-014</t>
    </r>
    <r>
      <rPr>
        <sz val="12"/>
        <rFont val="微軟正黑體"/>
        <family val="2"/>
        <charset val="136"/>
      </rPr>
      <t>）</t>
    </r>
    <phoneticPr fontId="5" type="noConversion"/>
  </si>
  <si>
    <r>
      <t xml:space="preserve">1. </t>
    </r>
    <r>
      <rPr>
        <sz val="12"/>
        <rFont val="微軟正黑體"/>
        <family val="2"/>
        <charset val="136"/>
      </rPr>
      <t xml:space="preserve">業務單位
</t>
    </r>
    <r>
      <rPr>
        <sz val="12"/>
        <rFont val="Calibri"/>
        <family val="2"/>
      </rPr>
      <t xml:space="preserve">2. </t>
    </r>
    <r>
      <rPr>
        <sz val="12"/>
        <rFont val="微軟正黑體"/>
        <family val="2"/>
        <charset val="136"/>
      </rPr>
      <t xml:space="preserve">運營單位
</t>
    </r>
    <r>
      <rPr>
        <sz val="12"/>
        <rFont val="Calibri"/>
        <family val="2"/>
      </rPr>
      <t xml:space="preserve">3. </t>
    </r>
    <r>
      <rPr>
        <sz val="12"/>
        <rFont val="微軟正黑體"/>
        <family val="2"/>
        <charset val="136"/>
      </rPr>
      <t>業務支援單位</t>
    </r>
    <phoneticPr fontId="5" type="noConversion"/>
  </si>
  <si>
    <r>
      <rPr>
        <sz val="12"/>
        <rFont val="微軟正黑體"/>
        <family val="2"/>
        <charset val="136"/>
      </rPr>
      <t>業務單位每年透過現有客戶的銷售預測資訊、市場研究單位提供之市場研究、運營單位提供之成本資訊編製「年度銷售預算計畫」，由業務支援單位上傳至</t>
    </r>
    <r>
      <rPr>
        <sz val="12"/>
        <rFont val="Calibri"/>
        <family val="2"/>
      </rPr>
      <t>ERP</t>
    </r>
    <r>
      <rPr>
        <sz val="12"/>
        <rFont val="微軟正黑體"/>
        <family val="2"/>
        <charset val="136"/>
      </rPr>
      <t>系統。</t>
    </r>
    <phoneticPr fontId="5" type="noConversion"/>
  </si>
  <si>
    <r>
      <t xml:space="preserve">1. </t>
    </r>
    <r>
      <rPr>
        <sz val="12"/>
        <rFont val="微軟正黑體"/>
        <family val="2"/>
        <charset val="136"/>
      </rPr>
      <t xml:space="preserve">業務單位
</t>
    </r>
    <r>
      <rPr>
        <sz val="12"/>
        <rFont val="Calibri"/>
        <family val="2"/>
      </rPr>
      <t xml:space="preserve">2. </t>
    </r>
    <r>
      <rPr>
        <sz val="12"/>
        <rFont val="微軟正黑體"/>
        <family val="2"/>
        <charset val="136"/>
      </rPr>
      <t xml:space="preserve">市場研究單位
</t>
    </r>
    <r>
      <rPr>
        <sz val="12"/>
        <rFont val="Calibri"/>
        <family val="2"/>
      </rPr>
      <t xml:space="preserve">3. </t>
    </r>
    <r>
      <rPr>
        <sz val="12"/>
        <rFont val="微軟正黑體"/>
        <family val="2"/>
        <charset val="136"/>
      </rPr>
      <t xml:space="preserve">運營單位
</t>
    </r>
    <r>
      <rPr>
        <sz val="12"/>
        <rFont val="Calibri"/>
        <family val="2"/>
      </rPr>
      <t xml:space="preserve">4. </t>
    </r>
    <r>
      <rPr>
        <sz val="12"/>
        <rFont val="微軟正黑體"/>
        <family val="2"/>
        <charset val="136"/>
      </rPr>
      <t>業務支援單位</t>
    </r>
    <phoneticPr fontId="5" type="noConversion"/>
  </si>
  <si>
    <r>
      <rPr>
        <sz val="12"/>
        <rFont val="微軟正黑體"/>
        <family val="2"/>
        <charset val="136"/>
      </rPr>
      <t>訂價原則與報價作業管理辦法（</t>
    </r>
    <r>
      <rPr>
        <sz val="12"/>
        <rFont val="Calibri"/>
        <family val="2"/>
      </rPr>
      <t>S6-013</t>
    </r>
    <r>
      <rPr>
        <sz val="12"/>
        <rFont val="微軟正黑體"/>
        <family val="2"/>
        <charset val="136"/>
      </rPr>
      <t>）</t>
    </r>
    <phoneticPr fontId="5" type="noConversion"/>
  </si>
  <si>
    <r>
      <t xml:space="preserve">1. </t>
    </r>
    <r>
      <rPr>
        <sz val="12"/>
        <rFont val="微軟正黑體"/>
        <family val="2"/>
        <charset val="136"/>
      </rPr>
      <t xml:space="preserve">效益評估
</t>
    </r>
    <r>
      <rPr>
        <sz val="12"/>
        <rFont val="Calibri"/>
        <family val="2"/>
      </rPr>
      <t xml:space="preserve">2. </t>
    </r>
    <r>
      <rPr>
        <sz val="12"/>
        <rFont val="微軟正黑體"/>
        <family val="2"/>
        <charset val="136"/>
      </rPr>
      <t>報價檢核表（</t>
    </r>
    <r>
      <rPr>
        <sz val="12"/>
        <rFont val="Calibri"/>
        <family val="2"/>
      </rPr>
      <t>S6-013-B-01</t>
    </r>
    <r>
      <rPr>
        <sz val="12"/>
        <rFont val="微軟正黑體"/>
        <family val="2"/>
        <charset val="136"/>
      </rPr>
      <t xml:space="preserve">）
</t>
    </r>
    <r>
      <rPr>
        <sz val="12"/>
        <rFont val="Calibri"/>
        <family val="2"/>
      </rPr>
      <t xml:space="preserve">3. </t>
    </r>
    <r>
      <rPr>
        <sz val="12"/>
        <rFont val="微軟正黑體"/>
        <family val="2"/>
        <charset val="136"/>
      </rPr>
      <t xml:space="preserve">簽呈
</t>
    </r>
    <r>
      <rPr>
        <sz val="12"/>
        <rFont val="Calibri"/>
        <family val="2"/>
      </rPr>
      <t xml:space="preserve">4. </t>
    </r>
    <r>
      <rPr>
        <sz val="12"/>
        <rFont val="微軟正黑體"/>
        <family val="2"/>
        <charset val="136"/>
      </rPr>
      <t>報價單（</t>
    </r>
    <r>
      <rPr>
        <sz val="12"/>
        <rFont val="Calibri"/>
        <family val="2"/>
      </rPr>
      <t>S2-001-A</t>
    </r>
    <r>
      <rPr>
        <sz val="12"/>
        <rFont val="微軟正黑體"/>
        <family val="2"/>
        <charset val="136"/>
      </rPr>
      <t>）</t>
    </r>
    <phoneticPr fontId="5" type="noConversion"/>
  </si>
  <si>
    <r>
      <t xml:space="preserve">1. </t>
    </r>
    <r>
      <rPr>
        <sz val="12"/>
        <rFont val="微軟正黑體"/>
        <family val="2"/>
        <charset val="136"/>
      </rPr>
      <t xml:space="preserve">業務單位
</t>
    </r>
    <r>
      <rPr>
        <sz val="12"/>
        <rFont val="Calibri"/>
        <family val="2"/>
      </rPr>
      <t xml:space="preserve">2. </t>
    </r>
    <r>
      <rPr>
        <sz val="12"/>
        <rFont val="微軟正黑體"/>
        <family val="2"/>
        <charset val="136"/>
      </rPr>
      <t xml:space="preserve">業務支援單位
</t>
    </r>
    <r>
      <rPr>
        <sz val="12"/>
        <rFont val="Calibri"/>
        <family val="2"/>
      </rPr>
      <t xml:space="preserve">3. </t>
    </r>
    <r>
      <rPr>
        <sz val="12"/>
        <rFont val="微軟正黑體"/>
        <family val="2"/>
        <charset val="136"/>
      </rPr>
      <t>運營單位</t>
    </r>
    <phoneticPr fontId="5" type="noConversion"/>
  </si>
  <si>
    <r>
      <rPr>
        <sz val="12"/>
        <rFont val="微軟正黑體"/>
        <family val="2"/>
        <charset val="136"/>
      </rPr>
      <t>業務單位有新增或修改客戶主檔資料需求時，填寫「客戶基本資料表」並檢附相關文件，呈業務單位主管核准後，業務支援單位依核准之「客戶基本資料表」，於</t>
    </r>
    <r>
      <rPr>
        <sz val="12"/>
        <rFont val="Calibri"/>
        <family val="2"/>
      </rPr>
      <t>ERP</t>
    </r>
    <r>
      <rPr>
        <sz val="12"/>
        <rFont val="微軟正黑體"/>
        <family val="2"/>
        <charset val="136"/>
      </rPr>
      <t>系統新增或修改客戶主檔，並由第三人覆核資料輸入之正確性，完成建立客戶主檔資料。</t>
    </r>
    <phoneticPr fontId="18" type="noConversion"/>
  </si>
  <si>
    <r>
      <t xml:space="preserve">1. </t>
    </r>
    <r>
      <rPr>
        <sz val="12"/>
        <rFont val="微軟正黑體"/>
        <family val="2"/>
        <charset val="136"/>
      </rPr>
      <t xml:space="preserve">業務單位
</t>
    </r>
    <r>
      <rPr>
        <sz val="12"/>
        <rFont val="Calibri"/>
        <family val="2"/>
      </rPr>
      <t xml:space="preserve">2. </t>
    </r>
    <r>
      <rPr>
        <sz val="12"/>
        <rFont val="微軟正黑體"/>
        <family val="2"/>
        <charset val="136"/>
      </rPr>
      <t>業務支援單位</t>
    </r>
    <phoneticPr fontId="5" type="noConversion"/>
  </si>
  <si>
    <r>
      <rPr>
        <sz val="12"/>
        <rFont val="微軟正黑體"/>
        <family val="2"/>
        <charset val="136"/>
      </rPr>
      <t>若需建立／異動信用額度，由業務支援單位填具「客戶授信額度分級評核表」及「授信額度申請暨變更申請表」檢附相關資料（如：營利事業登記證等），經業務單位權責主管、財務單位權責主管、執行長會簽後，由財務單位信用主檔維護權責人員於</t>
    </r>
    <r>
      <rPr>
        <sz val="12"/>
        <rFont val="Calibri"/>
        <family val="2"/>
      </rPr>
      <t>ERP</t>
    </r>
    <r>
      <rPr>
        <sz val="12"/>
        <rFont val="微軟正黑體"/>
        <family val="2"/>
        <charset val="136"/>
      </rPr>
      <t>系統建立／異動信用主檔。</t>
    </r>
    <phoneticPr fontId="5" type="noConversion"/>
  </si>
  <si>
    <r>
      <t xml:space="preserve"> </t>
    </r>
    <r>
      <rPr>
        <sz val="12"/>
        <rFont val="微軟正黑體"/>
        <family val="2"/>
        <charset val="136"/>
      </rPr>
      <t>授信作業管理辦法（</t>
    </r>
    <r>
      <rPr>
        <sz val="12"/>
        <rFont val="Calibri"/>
        <family val="2"/>
      </rPr>
      <t>S6-003</t>
    </r>
    <r>
      <rPr>
        <sz val="12"/>
        <rFont val="微軟正黑體"/>
        <family val="2"/>
        <charset val="136"/>
      </rPr>
      <t>）</t>
    </r>
    <phoneticPr fontId="5" type="noConversion"/>
  </si>
  <si>
    <r>
      <t xml:space="preserve">1. </t>
    </r>
    <r>
      <rPr>
        <sz val="12"/>
        <rFont val="微軟正黑體"/>
        <family val="2"/>
        <charset val="136"/>
      </rPr>
      <t>客戶授信額度分級評核表（</t>
    </r>
    <r>
      <rPr>
        <sz val="12"/>
        <rFont val="Calibri"/>
        <family val="2"/>
      </rPr>
      <t>S6-003-A-01</t>
    </r>
    <r>
      <rPr>
        <sz val="12"/>
        <rFont val="微軟正黑體"/>
        <family val="2"/>
        <charset val="136"/>
      </rPr>
      <t xml:space="preserve">）
</t>
    </r>
    <r>
      <rPr>
        <sz val="12"/>
        <rFont val="Calibri"/>
        <family val="2"/>
      </rPr>
      <t xml:space="preserve">2. </t>
    </r>
    <r>
      <rPr>
        <sz val="12"/>
        <rFont val="微軟正黑體"/>
        <family val="2"/>
        <charset val="136"/>
      </rPr>
      <t>授信額度申請暨變更申請表（</t>
    </r>
    <r>
      <rPr>
        <sz val="12"/>
        <rFont val="Calibri"/>
        <family val="2"/>
      </rPr>
      <t>S6-003-B-01</t>
    </r>
    <r>
      <rPr>
        <sz val="12"/>
        <rFont val="微軟正黑體"/>
        <family val="2"/>
        <charset val="136"/>
      </rPr>
      <t>）</t>
    </r>
    <phoneticPr fontId="5" type="noConversion"/>
  </si>
  <si>
    <r>
      <t xml:space="preserve">1. </t>
    </r>
    <r>
      <rPr>
        <sz val="12"/>
        <rFont val="微軟正黑體"/>
        <family val="2"/>
        <charset val="136"/>
      </rPr>
      <t xml:space="preserve">業務支援單位
</t>
    </r>
    <r>
      <rPr>
        <sz val="12"/>
        <rFont val="Calibri"/>
        <family val="2"/>
      </rPr>
      <t xml:space="preserve">2. </t>
    </r>
    <r>
      <rPr>
        <sz val="12"/>
        <rFont val="微軟正黑體"/>
        <family val="2"/>
        <charset val="136"/>
      </rPr>
      <t>財務單位</t>
    </r>
    <phoneticPr fontId="5" type="noConversion"/>
  </si>
  <si>
    <r>
      <t xml:space="preserve">1. </t>
    </r>
    <r>
      <rPr>
        <sz val="12"/>
        <rFont val="微軟正黑體"/>
        <family val="2"/>
        <charset val="136"/>
      </rPr>
      <t xml:space="preserve">目前負責新增及維護客戶信用主檔人員為財務單位權責人員。
</t>
    </r>
    <r>
      <rPr>
        <sz val="12"/>
        <rFont val="Calibri"/>
        <family val="2"/>
      </rPr>
      <t xml:space="preserve">2. </t>
    </r>
    <r>
      <rPr>
        <sz val="12"/>
        <rFont val="微軟正黑體"/>
        <family val="2"/>
        <charset val="136"/>
      </rPr>
      <t>系統權限應由需求單位提出申請後，經權責主管核准，並由資訊人員於系統設定。</t>
    </r>
    <phoneticPr fontId="5" type="noConversion"/>
  </si>
  <si>
    <r>
      <rPr>
        <sz val="12"/>
        <rFont val="微軟正黑體"/>
        <family val="2"/>
        <charset val="136"/>
      </rPr>
      <t>授信作業管理辦法（</t>
    </r>
    <r>
      <rPr>
        <sz val="12"/>
        <rFont val="Calibri"/>
        <family val="2"/>
      </rPr>
      <t>S6-003</t>
    </r>
    <r>
      <rPr>
        <sz val="12"/>
        <rFont val="微軟正黑體"/>
        <family val="2"/>
        <charset val="136"/>
      </rPr>
      <t>）</t>
    </r>
    <phoneticPr fontId="5" type="noConversion"/>
  </si>
  <si>
    <r>
      <rPr>
        <sz val="12"/>
        <rFont val="微軟正黑體"/>
        <family val="2"/>
        <charset val="136"/>
      </rPr>
      <t>累計營收前十大客戶明細及建議報告（</t>
    </r>
    <r>
      <rPr>
        <sz val="12"/>
        <rFont val="Calibri"/>
        <family val="2"/>
      </rPr>
      <t>S6-003-D-01</t>
    </r>
    <r>
      <rPr>
        <sz val="12"/>
        <rFont val="微軟正黑體"/>
        <family val="2"/>
        <charset val="136"/>
      </rPr>
      <t>）</t>
    </r>
    <phoneticPr fontId="5" type="noConversion"/>
  </si>
  <si>
    <r>
      <rPr>
        <sz val="12"/>
        <rFont val="微軟正黑體"/>
        <family val="2"/>
        <charset val="136"/>
      </rPr>
      <t>目前</t>
    </r>
    <r>
      <rPr>
        <sz val="12"/>
        <rFont val="Calibri"/>
        <family val="2"/>
      </rPr>
      <t>ERP</t>
    </r>
    <r>
      <rPr>
        <sz val="12"/>
        <rFont val="微軟正黑體"/>
        <family val="2"/>
        <charset val="136"/>
      </rPr>
      <t>系統之信用額度控管係確認客戶之應收帳款收現狀況，若該客戶之應收帳款餘額超過信用額度者，於開立訂單及出貨單時將進行警告，發貨過帳時若仍超過信用額度，</t>
    </r>
    <r>
      <rPr>
        <sz val="12"/>
        <rFont val="Calibri"/>
        <family val="2"/>
      </rPr>
      <t>ERP</t>
    </r>
    <r>
      <rPr>
        <sz val="12"/>
        <rFont val="微軟正黑體"/>
        <family val="2"/>
        <charset val="136"/>
      </rPr>
      <t>系統會自動管制，該筆訂單無法出貨。</t>
    </r>
    <phoneticPr fontId="5" type="noConversion"/>
  </si>
  <si>
    <r>
      <rPr>
        <sz val="12"/>
        <rFont val="微軟正黑體"/>
        <family val="2"/>
        <charset val="136"/>
      </rPr>
      <t>如客戶因信用額度不足而因特殊考量需放行特定</t>
    </r>
    <r>
      <rPr>
        <sz val="12"/>
        <rFont val="Calibri"/>
        <family val="2"/>
      </rPr>
      <t>Sales Order</t>
    </r>
    <r>
      <rPr>
        <sz val="12"/>
        <rFont val="微軟正黑體"/>
        <family val="2"/>
        <charset val="136"/>
      </rPr>
      <t>時，由業務支援單位填具「當次信用額度寬放申請單」之相關資訊及說明核放原因，經業務支援單位權責主管核准後送交財務單位會簽，依核決權限表進行簽核完成後由財務單位權責人員於</t>
    </r>
    <r>
      <rPr>
        <sz val="12"/>
        <rFont val="Calibri"/>
        <family val="2"/>
      </rPr>
      <t>ERP</t>
    </r>
    <r>
      <rPr>
        <sz val="12"/>
        <rFont val="微軟正黑體"/>
        <family val="2"/>
        <charset val="136"/>
      </rPr>
      <t>系統放行。</t>
    </r>
    <phoneticPr fontId="5" type="noConversion"/>
  </si>
  <si>
    <r>
      <rPr>
        <sz val="12"/>
        <rFont val="微軟正黑體"/>
        <family val="2"/>
        <charset val="136"/>
      </rPr>
      <t>當次信用額度寬放申請單（</t>
    </r>
    <r>
      <rPr>
        <sz val="12"/>
        <rFont val="Calibri"/>
        <family val="2"/>
      </rPr>
      <t>S6-003-C-01</t>
    </r>
    <r>
      <rPr>
        <sz val="12"/>
        <rFont val="微軟正黑體"/>
        <family val="2"/>
        <charset val="136"/>
      </rPr>
      <t>）</t>
    </r>
    <phoneticPr fontId="5" type="noConversion"/>
  </si>
  <si>
    <r>
      <rPr>
        <sz val="12"/>
        <rFont val="微軟正黑體"/>
        <family val="2"/>
        <charset val="136"/>
      </rPr>
      <t>訂單管理作業程序（</t>
    </r>
    <r>
      <rPr>
        <sz val="12"/>
        <rFont val="Calibri"/>
        <family val="2"/>
      </rPr>
      <t>S2-001</t>
    </r>
    <r>
      <rPr>
        <sz val="12"/>
        <rFont val="微軟正黑體"/>
        <family val="2"/>
        <charset val="136"/>
      </rPr>
      <t>）</t>
    </r>
    <phoneticPr fontId="5" type="noConversion"/>
  </si>
  <si>
    <r>
      <t>ERP</t>
    </r>
    <r>
      <rPr>
        <sz val="12"/>
        <rFont val="微軟正黑體"/>
        <family val="2"/>
        <charset val="136"/>
      </rPr>
      <t>應限制僅有經授權之人員始能新增、修改或刪除</t>
    </r>
    <r>
      <rPr>
        <sz val="12"/>
        <rFont val="Calibri"/>
        <family val="2"/>
      </rPr>
      <t>Sales Orders</t>
    </r>
    <r>
      <rPr>
        <sz val="12"/>
        <rFont val="微軟正黑體"/>
        <family val="2"/>
        <charset val="136"/>
      </rPr>
      <t>。</t>
    </r>
    <phoneticPr fontId="18" type="noConversion"/>
  </si>
  <si>
    <r>
      <t xml:space="preserve">1. </t>
    </r>
    <r>
      <rPr>
        <sz val="12"/>
        <rFont val="微軟正黑體"/>
        <family val="2"/>
        <charset val="136"/>
      </rPr>
      <t>目前負責新增、修改、刪除訂單（</t>
    </r>
    <r>
      <rPr>
        <sz val="12"/>
        <rFont val="Calibri"/>
        <family val="2"/>
      </rPr>
      <t>Sales Order</t>
    </r>
    <r>
      <rPr>
        <sz val="12"/>
        <rFont val="微軟正黑體"/>
        <family val="2"/>
        <charset val="136"/>
      </rPr>
      <t xml:space="preserve">）人員為業務支援單位權責人員。
</t>
    </r>
    <r>
      <rPr>
        <sz val="12"/>
        <rFont val="Calibri"/>
        <family val="2"/>
      </rPr>
      <t xml:space="preserve">2. </t>
    </r>
    <r>
      <rPr>
        <sz val="12"/>
        <rFont val="微軟正黑體"/>
        <family val="2"/>
        <charset val="136"/>
      </rPr>
      <t>系統權限應由需求單位提出申請後，經權責主管核准，並由資訊人員於系統設定。</t>
    </r>
    <phoneticPr fontId="5" type="noConversion"/>
  </si>
  <si>
    <r>
      <rPr>
        <sz val="12"/>
        <rFont val="微軟正黑體"/>
        <family val="2"/>
        <charset val="136"/>
      </rPr>
      <t>輸入系統之</t>
    </r>
    <r>
      <rPr>
        <sz val="12"/>
        <rFont val="Calibri"/>
        <family val="2"/>
      </rPr>
      <t>Sales Orders</t>
    </r>
    <r>
      <rPr>
        <sz val="12"/>
        <rFont val="微軟正黑體"/>
        <family val="2"/>
        <charset val="136"/>
      </rPr>
      <t>，系統應順序給予連續編號。</t>
    </r>
  </si>
  <si>
    <r>
      <rPr>
        <sz val="12"/>
        <rFont val="微軟正黑體"/>
        <family val="2"/>
        <charset val="136"/>
      </rPr>
      <t>業務支援單位權責人員在</t>
    </r>
    <r>
      <rPr>
        <sz val="12"/>
        <rFont val="Calibri"/>
        <family val="2"/>
      </rPr>
      <t>ERP</t>
    </r>
    <r>
      <rPr>
        <sz val="12"/>
        <rFont val="微軟正黑體"/>
        <family val="2"/>
        <charset val="136"/>
      </rPr>
      <t>系統中建立銷售訂單（</t>
    </r>
    <r>
      <rPr>
        <sz val="12"/>
        <rFont val="Calibri"/>
        <family val="2"/>
      </rPr>
      <t xml:space="preserve">Sales Order) </t>
    </r>
    <r>
      <rPr>
        <sz val="12"/>
        <rFont val="微軟正黑體"/>
        <family val="2"/>
        <charset val="136"/>
      </rPr>
      <t>後，係由系統自動產生連續銷售訂單編號。</t>
    </r>
    <phoneticPr fontId="5" type="noConversion"/>
  </si>
  <si>
    <r>
      <t xml:space="preserve">1. </t>
    </r>
    <r>
      <rPr>
        <sz val="12"/>
        <rFont val="微軟正黑體"/>
        <family val="2"/>
        <charset val="136"/>
      </rPr>
      <t>若客戶提出訂單變更需求，業務支援單位立即通知生／物管單位客戶變更／取消訂單之數量及情況，由生／物管單位回覆物料及生產狀況，業務支援單位接獲統計結果後，視合約及具體狀況討論殘材處理方式，並於</t>
    </r>
    <r>
      <rPr>
        <sz val="12"/>
        <rFont val="Calibri"/>
        <family val="2"/>
      </rPr>
      <t>ERP</t>
    </r>
    <r>
      <rPr>
        <sz val="12"/>
        <rFont val="微軟正黑體"/>
        <family val="2"/>
        <charset val="136"/>
      </rPr>
      <t>系統變更「</t>
    </r>
    <r>
      <rPr>
        <sz val="12"/>
        <rFont val="Calibri"/>
        <family val="2"/>
      </rPr>
      <t>Sales Order</t>
    </r>
    <r>
      <rPr>
        <sz val="12"/>
        <rFont val="微軟正黑體"/>
        <family val="2"/>
        <charset val="136"/>
      </rPr>
      <t xml:space="preserve">」，印出後呈權責主管覆核。
</t>
    </r>
    <r>
      <rPr>
        <sz val="12"/>
        <rFont val="Calibri"/>
        <family val="2"/>
      </rPr>
      <t xml:space="preserve">2. </t>
    </r>
    <r>
      <rPr>
        <sz val="12"/>
        <rFont val="微軟正黑體"/>
        <family val="2"/>
        <charset val="136"/>
      </rPr>
      <t>業務支援單位依客戶合約或與客戶討論該負擔之成本費用，並與客戶確認殘材處理之期限。</t>
    </r>
    <phoneticPr fontId="5" type="noConversion"/>
  </si>
  <si>
    <r>
      <rPr>
        <sz val="12"/>
        <rFont val="微軟正黑體"/>
        <family val="2"/>
        <charset val="136"/>
      </rPr>
      <t>訂單變更殘材處理管理辦法（</t>
    </r>
    <r>
      <rPr>
        <sz val="12"/>
        <rFont val="Calibri"/>
        <family val="2"/>
      </rPr>
      <t>S3-004</t>
    </r>
    <r>
      <rPr>
        <sz val="12"/>
        <rFont val="微軟正黑體"/>
        <family val="2"/>
        <charset val="136"/>
      </rPr>
      <t>）</t>
    </r>
    <phoneticPr fontId="5" type="noConversion"/>
  </si>
  <si>
    <r>
      <t xml:space="preserve">1. </t>
    </r>
    <r>
      <rPr>
        <sz val="12"/>
        <rFont val="微軟正黑體"/>
        <family val="2"/>
        <charset val="136"/>
      </rPr>
      <t xml:space="preserve">業務支援單位
</t>
    </r>
    <r>
      <rPr>
        <sz val="12"/>
        <rFont val="Calibri"/>
        <family val="2"/>
      </rPr>
      <t xml:space="preserve">2. </t>
    </r>
    <r>
      <rPr>
        <sz val="12"/>
        <rFont val="微軟正黑體"/>
        <family val="2"/>
        <charset val="136"/>
      </rPr>
      <t>生／物管單位</t>
    </r>
    <phoneticPr fontId="5" type="noConversion"/>
  </si>
  <si>
    <r>
      <t xml:space="preserve">1. </t>
    </r>
    <r>
      <rPr>
        <sz val="12"/>
        <rFont val="微軟正黑體"/>
        <family val="2"/>
        <charset val="136"/>
      </rPr>
      <t>貨物準備出廠時，由倉管單位與貨運司機依據「</t>
    </r>
    <r>
      <rPr>
        <sz val="12"/>
        <rFont val="Calibri"/>
        <family val="2"/>
      </rPr>
      <t>Delivery Note</t>
    </r>
    <r>
      <rPr>
        <sz val="12"/>
        <rFont val="微軟正黑體"/>
        <family val="2"/>
        <charset val="136"/>
      </rPr>
      <t>」對點數量，無誤後雙方於「</t>
    </r>
    <r>
      <rPr>
        <sz val="12"/>
        <rFont val="Calibri"/>
        <family val="2"/>
      </rPr>
      <t>Delivery Note</t>
    </r>
    <r>
      <rPr>
        <sz val="12"/>
        <rFont val="微軟正黑體"/>
        <family val="2"/>
        <charset val="136"/>
      </rPr>
      <t>」簽名確認，司機出廠時將「</t>
    </r>
    <r>
      <rPr>
        <sz val="12"/>
        <rFont val="Calibri"/>
        <family val="2"/>
      </rPr>
      <t>Delivery Note</t>
    </r>
    <r>
      <rPr>
        <sz val="12"/>
        <rFont val="微軟正黑體"/>
        <family val="2"/>
        <charset val="136"/>
      </rPr>
      <t xml:space="preserve">」作為出廠之依據交予廠區警衛。
</t>
    </r>
    <r>
      <rPr>
        <sz val="12"/>
        <rFont val="Calibri"/>
        <family val="2"/>
      </rPr>
      <t xml:space="preserve">2. </t>
    </r>
    <r>
      <rPr>
        <sz val="12"/>
        <rFont val="微軟正黑體"/>
        <family val="2"/>
        <charset val="136"/>
      </rPr>
      <t>貨物出廠後，倉管單位於</t>
    </r>
    <r>
      <rPr>
        <sz val="12"/>
        <rFont val="Calibri"/>
        <family val="2"/>
      </rPr>
      <t>ERP</t>
    </r>
    <r>
      <rPr>
        <sz val="12"/>
        <rFont val="微軟正黑體"/>
        <family val="2"/>
        <charset val="136"/>
      </rPr>
      <t>系統執行發貨過帳。</t>
    </r>
    <phoneticPr fontId="5" type="noConversion"/>
  </si>
  <si>
    <r>
      <rPr>
        <sz val="12"/>
        <rFont val="微軟正黑體"/>
        <family val="2"/>
        <charset val="136"/>
      </rPr>
      <t>若有客戶之</t>
    </r>
    <r>
      <rPr>
        <sz val="12"/>
        <rFont val="Calibri"/>
        <family val="2"/>
      </rPr>
      <t>NRE</t>
    </r>
    <r>
      <rPr>
        <sz val="12"/>
        <rFont val="微軟正黑體"/>
        <family val="2"/>
        <charset val="136"/>
      </rPr>
      <t>訂單，業務支援單位依據經核准之報價單於</t>
    </r>
    <r>
      <rPr>
        <sz val="12"/>
        <rFont val="Calibri"/>
        <family val="2"/>
      </rPr>
      <t>ERP</t>
    </r>
    <r>
      <rPr>
        <sz val="12"/>
        <rFont val="微軟正黑體"/>
        <family val="2"/>
        <charset val="136"/>
      </rPr>
      <t>系統開立訂單（</t>
    </r>
    <r>
      <rPr>
        <sz val="12"/>
        <rFont val="Calibri"/>
        <family val="2"/>
      </rPr>
      <t>Sales Order</t>
    </r>
    <r>
      <rPr>
        <sz val="12"/>
        <rFont val="微軟正黑體"/>
        <family val="2"/>
        <charset val="136"/>
      </rPr>
      <t>），後續出貨請詳</t>
    </r>
    <r>
      <rPr>
        <sz val="12"/>
        <rFont val="Calibri"/>
        <family val="2"/>
      </rPr>
      <t>CS106-1</t>
    </r>
    <r>
      <rPr>
        <sz val="12"/>
        <rFont val="微軟正黑體"/>
        <family val="2"/>
        <charset val="136"/>
      </rPr>
      <t>。</t>
    </r>
  </si>
  <si>
    <r>
      <t>1. Delivery Note
2. Packing List</t>
    </r>
    <r>
      <rPr>
        <sz val="12"/>
        <rFont val="微軟正黑體"/>
        <family val="2"/>
        <charset val="136"/>
      </rPr>
      <t>（</t>
    </r>
    <r>
      <rPr>
        <sz val="12"/>
        <rFont val="Calibri"/>
        <family val="2"/>
      </rPr>
      <t>S2-001-D</t>
    </r>
    <r>
      <rPr>
        <sz val="12"/>
        <rFont val="微軟正黑體"/>
        <family val="2"/>
        <charset val="136"/>
      </rPr>
      <t xml:space="preserve">）
</t>
    </r>
    <r>
      <rPr>
        <sz val="12"/>
        <rFont val="Calibri"/>
        <family val="2"/>
      </rPr>
      <t>3. Invoice</t>
    </r>
    <r>
      <rPr>
        <sz val="12"/>
        <rFont val="微軟正黑體"/>
        <family val="2"/>
        <charset val="136"/>
      </rPr>
      <t>（</t>
    </r>
    <r>
      <rPr>
        <sz val="12"/>
        <rFont val="Calibri"/>
        <family val="2"/>
      </rPr>
      <t>S2-001-E</t>
    </r>
    <r>
      <rPr>
        <sz val="12"/>
        <rFont val="微軟正黑體"/>
        <family val="2"/>
        <charset val="136"/>
      </rPr>
      <t>）</t>
    </r>
    <phoneticPr fontId="5" type="noConversion"/>
  </si>
  <si>
    <r>
      <rPr>
        <sz val="12"/>
        <color theme="1"/>
        <rFont val="微軟正黑體"/>
        <family val="2"/>
        <charset val="136"/>
      </rPr>
      <t>應定期檢視</t>
    </r>
    <r>
      <rPr>
        <sz val="12"/>
        <color theme="1"/>
        <rFont val="Calibri"/>
        <family val="2"/>
      </rPr>
      <t>Hub</t>
    </r>
    <r>
      <rPr>
        <sz val="12"/>
        <color theme="1"/>
        <rFont val="微軟正黑體"/>
        <family val="2"/>
        <charset val="136"/>
      </rPr>
      <t>倉存貨狀態及庫存數量之正確性。</t>
    </r>
    <phoneticPr fontId="2" type="noConversion"/>
  </si>
  <si>
    <r>
      <rPr>
        <sz val="12"/>
        <color theme="1"/>
        <rFont val="微軟正黑體"/>
        <family val="2"/>
        <charset val="136"/>
      </rPr>
      <t>公司目前未設置</t>
    </r>
    <r>
      <rPr>
        <sz val="12"/>
        <color theme="1"/>
        <rFont val="Calibri"/>
        <family val="2"/>
      </rPr>
      <t>Hub</t>
    </r>
    <r>
      <rPr>
        <sz val="12"/>
        <color theme="1"/>
        <rFont val="微軟正黑體"/>
        <family val="2"/>
        <charset val="136"/>
      </rPr>
      <t>倉，故此控制活動不適用。</t>
    </r>
    <phoneticPr fontId="5" type="noConversion"/>
  </si>
  <si>
    <r>
      <rPr>
        <sz val="12"/>
        <rFont val="微軟正黑體"/>
        <family val="2"/>
        <charset val="136"/>
      </rPr>
      <t>系統應能自動核對發票資訊（</t>
    </r>
    <r>
      <rPr>
        <sz val="12"/>
        <rFont val="Calibri"/>
        <family val="2"/>
      </rPr>
      <t>Billing Invoice</t>
    </r>
    <r>
      <rPr>
        <sz val="12"/>
        <rFont val="微軟正黑體"/>
        <family val="2"/>
        <charset val="136"/>
      </rPr>
      <t>）、經核准之訂單（</t>
    </r>
    <r>
      <rPr>
        <sz val="12"/>
        <rFont val="Calibri"/>
        <family val="2"/>
      </rPr>
      <t>Sales Order</t>
    </r>
    <r>
      <rPr>
        <sz val="12"/>
        <rFont val="微軟正黑體"/>
        <family val="2"/>
        <charset val="136"/>
      </rPr>
      <t>）及出貨單。</t>
    </r>
    <phoneticPr fontId="18" type="noConversion"/>
  </si>
  <si>
    <r>
      <rPr>
        <sz val="12"/>
        <rFont val="微軟正黑體"/>
        <family val="2"/>
        <charset val="136"/>
      </rPr>
      <t>業務支援單位於出貨作業完成或維護交貨證明（</t>
    </r>
    <r>
      <rPr>
        <sz val="12"/>
        <rFont val="Calibri"/>
        <family val="2"/>
      </rPr>
      <t>Proof of delivery, POD</t>
    </r>
    <r>
      <rPr>
        <sz val="12"/>
        <rFont val="微軟正黑體"/>
        <family val="2"/>
        <charset val="136"/>
      </rPr>
      <t>）後，於</t>
    </r>
    <r>
      <rPr>
        <sz val="12"/>
        <rFont val="Calibri"/>
        <family val="2"/>
      </rPr>
      <t>ERP</t>
    </r>
    <r>
      <rPr>
        <sz val="12"/>
        <rFont val="微軟正黑體"/>
        <family val="2"/>
        <charset val="136"/>
      </rPr>
      <t>系統建立請款文件，經會計單位審核後立帳，請款文件之數量與價格皆由</t>
    </r>
    <r>
      <rPr>
        <sz val="12"/>
        <rFont val="Calibri"/>
        <family val="2"/>
      </rPr>
      <t>ERP</t>
    </r>
    <r>
      <rPr>
        <sz val="12"/>
        <rFont val="微軟正黑體"/>
        <family val="2"/>
        <charset val="136"/>
      </rPr>
      <t>系統於「</t>
    </r>
    <r>
      <rPr>
        <sz val="12"/>
        <rFont val="Calibri"/>
        <family val="2"/>
      </rPr>
      <t>Sales Order</t>
    </r>
    <r>
      <rPr>
        <sz val="12"/>
        <rFont val="微軟正黑體"/>
        <family val="2"/>
        <charset val="136"/>
      </rPr>
      <t>」及「</t>
    </r>
    <r>
      <rPr>
        <sz val="12"/>
        <rFont val="Calibri"/>
        <family val="2"/>
      </rPr>
      <t>Delivery Note</t>
    </r>
    <r>
      <rPr>
        <sz val="12"/>
        <rFont val="微軟正黑體"/>
        <family val="2"/>
        <charset val="136"/>
      </rPr>
      <t>」自動帶出。</t>
    </r>
    <phoneticPr fontId="5" type="noConversion"/>
  </si>
  <si>
    <r>
      <rPr>
        <sz val="12"/>
        <rFont val="微軟正黑體"/>
        <family val="2"/>
        <charset val="136"/>
      </rPr>
      <t>所有已出貨之貨品或勞務完成時，相關資訊應即時轉入系統並產生</t>
    </r>
    <r>
      <rPr>
        <sz val="12"/>
        <rFont val="Calibri"/>
        <family val="2"/>
      </rPr>
      <t>Billing Invoice</t>
    </r>
    <r>
      <rPr>
        <sz val="12"/>
        <rFont val="微軟正黑體"/>
        <family val="2"/>
        <charset val="136"/>
      </rPr>
      <t>。</t>
    </r>
    <phoneticPr fontId="2" type="noConversion"/>
  </si>
  <si>
    <r>
      <rPr>
        <sz val="12"/>
        <rFont val="微軟正黑體"/>
        <family val="2"/>
        <charset val="136"/>
      </rPr>
      <t>業務支援單位於出貨作業完成或維護交貨證明（</t>
    </r>
    <r>
      <rPr>
        <sz val="12"/>
        <rFont val="Calibri"/>
        <family val="2"/>
      </rPr>
      <t>Proof of delivery, POD</t>
    </r>
    <r>
      <rPr>
        <sz val="12"/>
        <rFont val="微軟正黑體"/>
        <family val="2"/>
        <charset val="136"/>
      </rPr>
      <t>）後，於</t>
    </r>
    <r>
      <rPr>
        <sz val="12"/>
        <rFont val="Calibri"/>
        <family val="2"/>
      </rPr>
      <t>ERP</t>
    </r>
    <r>
      <rPr>
        <sz val="12"/>
        <rFont val="微軟正黑體"/>
        <family val="2"/>
        <charset val="136"/>
      </rPr>
      <t>系統建立請款文件，經會計單位審核後立帳。</t>
    </r>
    <phoneticPr fontId="5" type="noConversion"/>
  </si>
  <si>
    <r>
      <t>1. Billing Invoice</t>
    </r>
    <r>
      <rPr>
        <sz val="12"/>
        <rFont val="微軟正黑體"/>
        <family val="2"/>
        <charset val="136"/>
      </rPr>
      <t>現以</t>
    </r>
    <r>
      <rPr>
        <sz val="12"/>
        <rFont val="Calibri"/>
        <family val="2"/>
      </rPr>
      <t>SAP</t>
    </r>
    <r>
      <rPr>
        <sz val="12"/>
        <rFont val="微軟正黑體"/>
        <family val="2"/>
        <charset val="136"/>
      </rPr>
      <t xml:space="preserve">系統自動比對正確性，不另外執行人工覆核作業。
</t>
    </r>
    <r>
      <rPr>
        <sz val="12"/>
        <rFont val="Calibri"/>
        <family val="2"/>
      </rPr>
      <t xml:space="preserve">2. </t>
    </r>
    <r>
      <rPr>
        <sz val="12"/>
        <rFont val="微軟正黑體"/>
        <family val="2"/>
        <charset val="136"/>
      </rPr>
      <t>統一發票（</t>
    </r>
    <r>
      <rPr>
        <sz val="12"/>
        <rFont val="Calibri"/>
        <family val="2"/>
      </rPr>
      <t>GUI</t>
    </r>
    <r>
      <rPr>
        <sz val="12"/>
        <rFont val="微軟正黑體"/>
        <family val="2"/>
        <charset val="136"/>
      </rPr>
      <t>）係依據</t>
    </r>
    <r>
      <rPr>
        <sz val="12"/>
        <rFont val="Calibri"/>
        <family val="2"/>
      </rPr>
      <t>ERP</t>
    </r>
    <r>
      <rPr>
        <sz val="12"/>
        <rFont val="微軟正黑體"/>
        <family val="2"/>
        <charset val="136"/>
      </rPr>
      <t>系統資訊自動開立，由會計單位權責人員會比對確認統一發票（</t>
    </r>
    <r>
      <rPr>
        <sz val="12"/>
        <rFont val="Calibri"/>
        <family val="2"/>
      </rPr>
      <t>GUI</t>
    </r>
    <r>
      <rPr>
        <sz val="12"/>
        <rFont val="微軟正黑體"/>
        <family val="2"/>
        <charset val="136"/>
      </rPr>
      <t>）之正確性。</t>
    </r>
    <phoneticPr fontId="2" type="noConversion"/>
  </si>
  <si>
    <r>
      <rPr>
        <sz val="12"/>
        <rFont val="微軟正黑體"/>
        <family val="2"/>
        <charset val="136"/>
      </rPr>
      <t>權責主管應定期覆核系統所產生之已交運但未開立發票</t>
    </r>
    <r>
      <rPr>
        <sz val="12"/>
        <rFont val="Calibri"/>
        <family val="2"/>
      </rPr>
      <t>(Invoice)</t>
    </r>
    <r>
      <rPr>
        <sz val="12"/>
        <rFont val="微軟正黑體"/>
        <family val="2"/>
        <charset val="136"/>
      </rPr>
      <t>之貨品明細，及已產生</t>
    </r>
    <r>
      <rPr>
        <sz val="12"/>
        <rFont val="Calibri"/>
        <family val="2"/>
      </rPr>
      <t>Debit</t>
    </r>
    <r>
      <rPr>
        <sz val="12"/>
        <rFont val="微軟正黑體"/>
        <family val="2"/>
        <charset val="136"/>
      </rPr>
      <t>或</t>
    </r>
    <r>
      <rPr>
        <sz val="12"/>
        <rFont val="Calibri"/>
        <family val="2"/>
      </rPr>
      <t>Credit Note Request</t>
    </r>
    <r>
      <rPr>
        <sz val="12"/>
        <rFont val="微軟正黑體"/>
        <family val="2"/>
        <charset val="136"/>
      </rPr>
      <t>但未產生正式之</t>
    </r>
    <r>
      <rPr>
        <sz val="12"/>
        <rFont val="Calibri"/>
        <family val="2"/>
      </rPr>
      <t>Debit</t>
    </r>
    <r>
      <rPr>
        <sz val="12"/>
        <rFont val="微軟正黑體"/>
        <family val="2"/>
        <charset val="136"/>
      </rPr>
      <t>或</t>
    </r>
    <r>
      <rPr>
        <sz val="12"/>
        <rFont val="Calibri"/>
        <family val="2"/>
      </rPr>
      <t>Credit Note</t>
    </r>
    <r>
      <rPr>
        <sz val="12"/>
        <rFont val="微軟正黑體"/>
        <family val="2"/>
        <charset val="136"/>
      </rPr>
      <t>。</t>
    </r>
    <phoneticPr fontId="2" type="noConversion"/>
  </si>
  <si>
    <r>
      <t xml:space="preserve">1. </t>
    </r>
    <r>
      <rPr>
        <sz val="12"/>
        <rFont val="微軟正黑體"/>
        <family val="2"/>
        <charset val="136"/>
      </rPr>
      <t>會計單位權責人員月底結帳時於</t>
    </r>
    <r>
      <rPr>
        <sz val="12"/>
        <rFont val="Calibri"/>
        <family val="2"/>
      </rPr>
      <t>ERP</t>
    </r>
    <r>
      <rPr>
        <sz val="12"/>
        <rFont val="微軟正黑體"/>
        <family val="2"/>
        <charset val="136"/>
      </rPr>
      <t xml:space="preserve">系統查詢已出貨但尚未產生請款文件之項目，並請業務支援單位回覆原因。
</t>
    </r>
    <r>
      <rPr>
        <sz val="12"/>
        <rFont val="Calibri"/>
        <family val="2"/>
      </rPr>
      <t xml:space="preserve">2. </t>
    </r>
    <r>
      <rPr>
        <sz val="12"/>
        <rFont val="微軟正黑體"/>
        <family val="2"/>
        <charset val="136"/>
      </rPr>
      <t>會計單位權責人員月底結帳時於</t>
    </r>
    <r>
      <rPr>
        <sz val="12"/>
        <rFont val="Calibri"/>
        <family val="2"/>
      </rPr>
      <t>ERP</t>
    </r>
    <r>
      <rPr>
        <sz val="12"/>
        <rFont val="微軟正黑體"/>
        <family val="2"/>
        <charset val="136"/>
      </rPr>
      <t>系統確認是否存在尚未核發的請款文件，已確認所有請款文件皆已及時處理。</t>
    </r>
    <phoneticPr fontId="2" type="noConversion"/>
  </si>
  <si>
    <r>
      <t xml:space="preserve">1. </t>
    </r>
    <r>
      <rPr>
        <sz val="12"/>
        <rFont val="微軟正黑體"/>
        <family val="2"/>
        <charset val="136"/>
      </rPr>
      <t xml:space="preserve">已出貨但尚未產生請款文件清單覆核紀錄
</t>
    </r>
    <r>
      <rPr>
        <sz val="12"/>
        <rFont val="Calibri"/>
        <family val="2"/>
      </rPr>
      <t xml:space="preserve">2. </t>
    </r>
    <r>
      <rPr>
        <sz val="12"/>
        <rFont val="微軟正黑體"/>
        <family val="2"/>
        <charset val="136"/>
      </rPr>
      <t>請款文件清單覆核紀錄</t>
    </r>
    <phoneticPr fontId="5" type="noConversion"/>
  </si>
  <si>
    <r>
      <t xml:space="preserve">1. </t>
    </r>
    <r>
      <rPr>
        <sz val="12"/>
        <rFont val="微軟正黑體"/>
        <family val="2"/>
        <charset val="136"/>
      </rPr>
      <t xml:space="preserve">會計單位
</t>
    </r>
    <r>
      <rPr>
        <sz val="12"/>
        <rFont val="Calibri"/>
        <family val="2"/>
      </rPr>
      <t xml:space="preserve">2. </t>
    </r>
    <r>
      <rPr>
        <sz val="12"/>
        <rFont val="微軟正黑體"/>
        <family val="2"/>
        <charset val="136"/>
      </rPr>
      <t>業務支援單位</t>
    </r>
    <phoneticPr fontId="5" type="noConversion"/>
  </si>
  <si>
    <r>
      <rPr>
        <sz val="12"/>
        <rFont val="微軟正黑體"/>
        <family val="2"/>
        <charset val="136"/>
      </rPr>
      <t>會計單位權責人員月底結帳時於</t>
    </r>
    <r>
      <rPr>
        <sz val="12"/>
        <rFont val="Calibri"/>
        <family val="2"/>
      </rPr>
      <t>ERP</t>
    </r>
    <r>
      <rPr>
        <sz val="12"/>
        <rFont val="微軟正黑體"/>
        <family val="2"/>
        <charset val="136"/>
      </rPr>
      <t xml:space="preserve">系統確認是否存在尚未核發的請款文件，已確認所有請款文件皆已及時處理。
</t>
    </r>
    <phoneticPr fontId="21" type="noConversion"/>
  </si>
  <si>
    <r>
      <rPr>
        <sz val="12"/>
        <rFont val="微軟正黑體"/>
        <family val="2"/>
        <charset val="136"/>
      </rPr>
      <t>會計單位權責人員月底結帳時於</t>
    </r>
    <r>
      <rPr>
        <sz val="12"/>
        <rFont val="Calibri"/>
        <family val="2"/>
      </rPr>
      <t>ERP</t>
    </r>
    <r>
      <rPr>
        <sz val="12"/>
        <rFont val="微軟正黑體"/>
        <family val="2"/>
        <charset val="136"/>
      </rPr>
      <t>系統查詢已出貨但尚未產生請款文件之項目，並請業務支援單位回覆原因。</t>
    </r>
    <phoneticPr fontId="5" type="noConversion"/>
  </si>
  <si>
    <r>
      <t xml:space="preserve">1. </t>
    </r>
    <r>
      <rPr>
        <sz val="12"/>
        <rFont val="微軟正黑體"/>
        <family val="2"/>
        <charset val="136"/>
      </rPr>
      <t xml:space="preserve">若發票尚未交付客戶，有需作廢情形者，須於發票上蓋印作廢章。
</t>
    </r>
    <r>
      <rPr>
        <sz val="12"/>
        <rFont val="Calibri"/>
        <family val="2"/>
      </rPr>
      <t xml:space="preserve">2. </t>
    </r>
    <r>
      <rPr>
        <sz val="12"/>
        <rFont val="微軟正黑體"/>
        <family val="2"/>
        <charset val="136"/>
      </rPr>
      <t xml:space="preserve">若發票已交寄客戶且未申報營業稅，有需作廢情形者，需取得原始發票，於發票上蓋印作廢章。
</t>
    </r>
    <r>
      <rPr>
        <sz val="12"/>
        <rFont val="Calibri"/>
        <family val="2"/>
      </rPr>
      <t xml:space="preserve">3. </t>
    </r>
    <r>
      <rPr>
        <sz val="12"/>
        <rFont val="微軟正黑體"/>
        <family val="2"/>
        <charset val="136"/>
      </rPr>
      <t>若發票已申報營業稅，有需作廢情形者，由業務單位向客戶索取「營業人銷貨退回折讓證明單」作為申請退稅之依據。</t>
    </r>
    <phoneticPr fontId="2" type="noConversion"/>
  </si>
  <si>
    <r>
      <t xml:space="preserve">1. </t>
    </r>
    <r>
      <rPr>
        <sz val="12"/>
        <rFont val="微軟正黑體"/>
        <family val="2"/>
        <charset val="136"/>
      </rPr>
      <t xml:space="preserve">會計單位
</t>
    </r>
    <r>
      <rPr>
        <sz val="12"/>
        <rFont val="Calibri"/>
        <family val="2"/>
      </rPr>
      <t xml:space="preserve">2. </t>
    </r>
    <r>
      <rPr>
        <sz val="12"/>
        <rFont val="微軟正黑體"/>
        <family val="2"/>
        <charset val="136"/>
      </rPr>
      <t>業務單位</t>
    </r>
    <phoneticPr fontId="5" type="noConversion"/>
  </si>
  <si>
    <r>
      <rPr>
        <sz val="12"/>
        <rFont val="微軟正黑體"/>
        <family val="2"/>
        <charset val="136"/>
      </rPr>
      <t>異動</t>
    </r>
    <r>
      <rPr>
        <sz val="12"/>
        <rFont val="Calibri"/>
        <family val="2"/>
      </rPr>
      <t>Billing Rule</t>
    </r>
    <r>
      <rPr>
        <sz val="12"/>
        <rFont val="微軟正黑體"/>
        <family val="2"/>
        <charset val="136"/>
      </rPr>
      <t>應經申請並經權責主管核准後修改。</t>
    </r>
    <phoneticPr fontId="5" type="noConversion"/>
  </si>
  <si>
    <r>
      <t>Billing Rule</t>
    </r>
    <r>
      <rPr>
        <sz val="12"/>
        <rFont val="微軟正黑體"/>
        <family val="2"/>
        <charset val="136"/>
      </rPr>
      <t>建立於</t>
    </r>
    <r>
      <rPr>
        <sz val="12"/>
        <rFont val="Calibri"/>
        <family val="2"/>
      </rPr>
      <t>ERP</t>
    </r>
    <r>
      <rPr>
        <sz val="12"/>
        <rFont val="微軟正黑體"/>
        <family val="2"/>
        <charset val="136"/>
      </rPr>
      <t>系統之客戶主檔中，異動客戶主檔相關控管程序請</t>
    </r>
    <r>
      <rPr>
        <sz val="12"/>
        <rFont val="Calibri"/>
        <family val="2"/>
      </rPr>
      <t>Refer to CS103-1</t>
    </r>
    <r>
      <rPr>
        <sz val="12"/>
        <rFont val="微軟正黑體"/>
        <family val="2"/>
        <charset val="136"/>
      </rPr>
      <t>。</t>
    </r>
    <phoneticPr fontId="5" type="noConversion"/>
  </si>
  <si>
    <r>
      <t>Cancel billing</t>
    </r>
    <r>
      <rPr>
        <sz val="12"/>
        <rFont val="微軟正黑體"/>
        <family val="2"/>
        <charset val="136"/>
      </rPr>
      <t>應提出申請並經權責主管簽核後由權責人員於</t>
    </r>
    <r>
      <rPr>
        <sz val="12"/>
        <rFont val="Calibri"/>
        <family val="2"/>
      </rPr>
      <t>SAP</t>
    </r>
    <r>
      <rPr>
        <sz val="12"/>
        <rFont val="微軟正黑體"/>
        <family val="2"/>
        <charset val="136"/>
      </rPr>
      <t>系統進行異動。</t>
    </r>
    <phoneticPr fontId="3" type="noConversion"/>
  </si>
  <si>
    <r>
      <rPr>
        <sz val="12"/>
        <rFont val="微軟正黑體"/>
        <family val="2"/>
        <charset val="136"/>
      </rPr>
      <t>業務支援單位權責人員提出取消請款文件申請，經權責主管核准後，送交會計單位，會計單位取得經權責主管核准後之取消請款文件申請後，於</t>
    </r>
    <r>
      <rPr>
        <sz val="12"/>
        <rFont val="Calibri"/>
        <family val="2"/>
      </rPr>
      <t>ERP</t>
    </r>
    <r>
      <rPr>
        <sz val="12"/>
        <rFont val="微軟正黑體"/>
        <family val="2"/>
        <charset val="136"/>
      </rPr>
      <t>系統執行取消請款文件作業，完成後通知業務支援單位權責人員，由業務支援單位權責人員採取後續作業。</t>
    </r>
    <phoneticPr fontId="5" type="noConversion"/>
  </si>
  <si>
    <r>
      <rPr>
        <sz val="12"/>
        <rFont val="微軟正黑體"/>
        <family val="2"/>
        <charset val="136"/>
      </rPr>
      <t>業務支援單位以</t>
    </r>
    <r>
      <rPr>
        <sz val="12"/>
        <rFont val="Calibri"/>
        <family val="2"/>
      </rPr>
      <t>e-mail</t>
    </r>
    <r>
      <rPr>
        <sz val="12"/>
        <rFont val="微軟正黑體"/>
        <family val="2"/>
        <charset val="136"/>
      </rPr>
      <t>提出取消請款文件申請後，由會計單位執行取消請款文件作業，完成後回覆予業務支援單位確認，若有問題營業單位將與會計單位釐清，以確認所有</t>
    </r>
    <r>
      <rPr>
        <sz val="12"/>
        <rFont val="Calibri"/>
        <family val="2"/>
      </rPr>
      <t>Cancel Billing</t>
    </r>
    <r>
      <rPr>
        <sz val="12"/>
        <rFont val="微軟正黑體"/>
        <family val="2"/>
        <charset val="136"/>
      </rPr>
      <t>申請之正確性。</t>
    </r>
    <phoneticPr fontId="5" type="noConversion"/>
  </si>
  <si>
    <r>
      <t xml:space="preserve">1. </t>
    </r>
    <r>
      <rPr>
        <sz val="12"/>
        <rFont val="微軟正黑體"/>
        <family val="2"/>
        <charset val="136"/>
      </rPr>
      <t>外銷：業務支援單位依據與客戶談定之貿易條件於</t>
    </r>
    <r>
      <rPr>
        <sz val="12"/>
        <rFont val="Calibri"/>
        <family val="2"/>
      </rPr>
      <t>ERP</t>
    </r>
    <r>
      <rPr>
        <sz val="12"/>
        <rFont val="微軟正黑體"/>
        <family val="2"/>
        <charset val="136"/>
      </rPr>
      <t>系統維護交貨證明（</t>
    </r>
    <r>
      <rPr>
        <sz val="12"/>
        <rFont val="Calibri"/>
        <family val="2"/>
      </rPr>
      <t>Proof of delivery, POD</t>
    </r>
    <r>
      <rPr>
        <sz val="12"/>
        <rFont val="微軟正黑體"/>
        <family val="2"/>
        <charset val="136"/>
      </rPr>
      <t>），並於</t>
    </r>
    <r>
      <rPr>
        <sz val="12"/>
        <rFont val="Calibri"/>
        <family val="2"/>
      </rPr>
      <t>ERP</t>
    </r>
    <r>
      <rPr>
        <sz val="12"/>
        <rFont val="微軟正黑體"/>
        <family val="2"/>
        <charset val="136"/>
      </rPr>
      <t xml:space="preserve">系統建立請款文件，將交貨證明提供予會計單位權責人員審核，通過後，會計單位權責人員核發請款文件，認列認列銷貨收入及應收帳款科目。
</t>
    </r>
    <r>
      <rPr>
        <sz val="12"/>
        <rFont val="Calibri"/>
        <family val="2"/>
      </rPr>
      <t xml:space="preserve">2. </t>
    </r>
    <r>
      <rPr>
        <sz val="12"/>
        <rFont val="微軟正黑體"/>
        <family val="2"/>
        <charset val="136"/>
      </rPr>
      <t>內銷：業務支援單位於</t>
    </r>
    <r>
      <rPr>
        <sz val="12"/>
        <rFont val="Calibri"/>
        <family val="2"/>
      </rPr>
      <t>ERP</t>
    </r>
    <r>
      <rPr>
        <sz val="12"/>
        <rFont val="微軟正黑體"/>
        <family val="2"/>
        <charset val="136"/>
      </rPr>
      <t>系統建立請款文件後，將出廠放行之「</t>
    </r>
    <r>
      <rPr>
        <sz val="12"/>
        <rFont val="Calibri"/>
        <family val="2"/>
      </rPr>
      <t>Delivery Note</t>
    </r>
    <r>
      <rPr>
        <sz val="12"/>
        <rFont val="微軟正黑體"/>
        <family val="2"/>
        <charset val="136"/>
      </rPr>
      <t>」提供予會計人員審核，通過後，會計單位權責人員核發請款文件，認列認列銷貨收入及應收帳款科目。</t>
    </r>
    <phoneticPr fontId="2" type="noConversion"/>
  </si>
  <si>
    <r>
      <t xml:space="preserve">1. </t>
    </r>
    <r>
      <rPr>
        <sz val="12"/>
        <rFont val="微軟正黑體"/>
        <family val="2"/>
        <charset val="136"/>
      </rPr>
      <t xml:space="preserve">交貨證明
</t>
    </r>
    <r>
      <rPr>
        <sz val="12"/>
        <rFont val="Calibri"/>
        <family val="2"/>
      </rPr>
      <t>2. Delivery Note</t>
    </r>
    <phoneticPr fontId="5" type="noConversion"/>
  </si>
  <si>
    <r>
      <rPr>
        <sz val="12"/>
        <rFont val="微軟正黑體"/>
        <family val="2"/>
        <charset val="136"/>
      </rPr>
      <t>業務支援單位於</t>
    </r>
    <r>
      <rPr>
        <sz val="12"/>
        <rFont val="Calibri"/>
        <family val="2"/>
      </rPr>
      <t>ERP</t>
    </r>
    <r>
      <rPr>
        <sz val="12"/>
        <rFont val="微軟正黑體"/>
        <family val="2"/>
        <charset val="136"/>
      </rPr>
      <t xml:space="preserve">系統產出「對帳單」寄送予客戶，以確認應收帳款狀況。
</t>
    </r>
    <phoneticPr fontId="5" type="noConversion"/>
  </si>
  <si>
    <r>
      <rPr>
        <sz val="12"/>
        <rFont val="微軟正黑體"/>
        <family val="2"/>
        <charset val="136"/>
      </rPr>
      <t>定期產生及分析</t>
    </r>
    <r>
      <rPr>
        <sz val="12"/>
        <rFont val="Calibri"/>
        <family val="2"/>
      </rPr>
      <t>ERP</t>
    </r>
    <r>
      <rPr>
        <sz val="12"/>
        <rFont val="微軟正黑體"/>
        <family val="2"/>
        <charset val="136"/>
      </rPr>
      <t>所產生之應收帳款帳齡分析表，並針對逾期之帳款執行催收程序。</t>
    </r>
    <phoneticPr fontId="2" type="noConversion"/>
  </si>
  <si>
    <r>
      <rPr>
        <sz val="12"/>
        <rFont val="微軟正黑體"/>
        <family val="2"/>
        <charset val="136"/>
      </rPr>
      <t>收款管理辦法（</t>
    </r>
    <r>
      <rPr>
        <sz val="12"/>
        <rFont val="Calibri"/>
        <family val="2"/>
      </rPr>
      <t>S6-005</t>
    </r>
    <r>
      <rPr>
        <sz val="12"/>
        <rFont val="微軟正黑體"/>
        <family val="2"/>
        <charset val="136"/>
      </rPr>
      <t>）</t>
    </r>
    <phoneticPr fontId="5" type="noConversion"/>
  </si>
  <si>
    <r>
      <rPr>
        <sz val="12"/>
        <rFont val="微軟正黑體"/>
        <family val="2"/>
        <charset val="136"/>
      </rPr>
      <t>財務單位權責人員於確認收到匯入款項後，於</t>
    </r>
    <r>
      <rPr>
        <sz val="12"/>
        <rFont val="Calibri"/>
        <family val="2"/>
      </rPr>
      <t>ERP</t>
    </r>
    <r>
      <rPr>
        <sz val="12"/>
        <rFont val="微軟正黑體"/>
        <family val="2"/>
        <charset val="136"/>
      </rPr>
      <t>系統建立「暫收款傳票」印出呈權責主管覆核，並與業務支援單位確認收款對象。</t>
    </r>
    <phoneticPr fontId="5" type="noConversion"/>
  </si>
  <si>
    <r>
      <rPr>
        <sz val="12"/>
        <rFont val="微軟正黑體"/>
        <family val="2"/>
        <charset val="136"/>
      </rPr>
      <t>若有現金折讓之情事，由業務支援單位於</t>
    </r>
    <r>
      <rPr>
        <sz val="12"/>
        <rFont val="Calibri"/>
        <family val="2"/>
      </rPr>
      <t>ERP</t>
    </r>
    <r>
      <rPr>
        <sz val="12"/>
        <rFont val="微軟正黑體"/>
        <family val="2"/>
        <charset val="136"/>
      </rPr>
      <t>系統開立「</t>
    </r>
    <r>
      <rPr>
        <sz val="12"/>
        <rFont val="Calibri"/>
        <family val="2"/>
      </rPr>
      <t>Credit Note</t>
    </r>
    <r>
      <rPr>
        <sz val="12"/>
        <rFont val="微軟正黑體"/>
        <family val="2"/>
        <charset val="136"/>
      </rPr>
      <t>」，印出呈權責主管覆核，並將相關憑證如：同意現金折讓之記錄等併同「</t>
    </r>
    <r>
      <rPr>
        <sz val="12"/>
        <rFont val="Calibri"/>
        <family val="2"/>
      </rPr>
      <t>Credit Note</t>
    </r>
    <r>
      <rPr>
        <sz val="12"/>
        <rFont val="微軟正黑體"/>
        <family val="2"/>
        <charset val="136"/>
      </rPr>
      <t>」送交會計單位審核，完成後由會計單位核發，產生現金折讓傳票呈權責主管覆核。</t>
    </r>
    <phoneticPr fontId="5" type="noConversion"/>
  </si>
  <si>
    <r>
      <t xml:space="preserve">1. </t>
    </r>
    <r>
      <rPr>
        <sz val="12"/>
        <rFont val="微軟正黑體"/>
        <family val="2"/>
        <charset val="136"/>
      </rPr>
      <t xml:space="preserve">業務支援單位
</t>
    </r>
    <r>
      <rPr>
        <sz val="12"/>
        <rFont val="Calibri"/>
        <family val="2"/>
      </rPr>
      <t xml:space="preserve">2. </t>
    </r>
    <r>
      <rPr>
        <sz val="12"/>
        <rFont val="微軟正黑體"/>
        <family val="2"/>
        <charset val="136"/>
      </rPr>
      <t>會計單位</t>
    </r>
    <phoneticPr fontId="5" type="noConversion"/>
  </si>
  <si>
    <r>
      <t xml:space="preserve">Refer to </t>
    </r>
    <r>
      <rPr>
        <sz val="12"/>
        <rFont val="微軟正黑體"/>
        <family val="2"/>
        <charset val="136"/>
      </rPr>
      <t>採購及付款循環</t>
    </r>
    <r>
      <rPr>
        <sz val="12"/>
        <rFont val="Calibri"/>
        <family val="2"/>
      </rPr>
      <t xml:space="preserve"> CP106-12</t>
    </r>
    <phoneticPr fontId="5" type="noConversion"/>
  </si>
  <si>
    <r>
      <t xml:space="preserve">1. </t>
    </r>
    <r>
      <rPr>
        <sz val="12"/>
        <rFont val="微軟正黑體"/>
        <family val="2"/>
        <charset val="136"/>
      </rPr>
      <t>客戶訴怨管理程序（</t>
    </r>
    <r>
      <rPr>
        <sz val="12"/>
        <rFont val="Calibri"/>
        <family val="2"/>
      </rPr>
      <t>S2-003</t>
    </r>
    <r>
      <rPr>
        <sz val="12"/>
        <rFont val="微軟正黑體"/>
        <family val="2"/>
        <charset val="136"/>
      </rPr>
      <t xml:space="preserve">）
</t>
    </r>
    <r>
      <rPr>
        <sz val="12"/>
        <rFont val="Calibri"/>
        <family val="2"/>
      </rPr>
      <t xml:space="preserve">2. </t>
    </r>
    <r>
      <rPr>
        <sz val="12"/>
        <rFont val="微軟正黑體"/>
        <family val="2"/>
        <charset val="136"/>
      </rPr>
      <t>矯正與預防措施管制程序（</t>
    </r>
    <r>
      <rPr>
        <sz val="12"/>
        <rFont val="Calibri"/>
        <family val="2"/>
      </rPr>
      <t xml:space="preserve">Q2-005 </t>
    </r>
    <r>
      <rPr>
        <sz val="12"/>
        <rFont val="微軟正黑體"/>
        <family val="2"/>
        <charset val="136"/>
      </rPr>
      <t>）</t>
    </r>
    <phoneticPr fontId="5" type="noConversion"/>
  </si>
  <si>
    <r>
      <t xml:space="preserve">1. </t>
    </r>
    <r>
      <rPr>
        <sz val="12"/>
        <rFont val="微軟正黑體"/>
        <family val="2"/>
        <charset val="136"/>
      </rPr>
      <t>客戶訴怨處理單（</t>
    </r>
    <r>
      <rPr>
        <sz val="12"/>
        <rFont val="Calibri"/>
        <family val="2"/>
      </rPr>
      <t>S2-003-A</t>
    </r>
    <r>
      <rPr>
        <sz val="12"/>
        <rFont val="微軟正黑體"/>
        <family val="2"/>
        <charset val="136"/>
      </rPr>
      <t xml:space="preserve">）
</t>
    </r>
    <r>
      <rPr>
        <sz val="12"/>
        <rFont val="Calibri"/>
        <family val="2"/>
      </rPr>
      <t xml:space="preserve">2. </t>
    </r>
    <r>
      <rPr>
        <sz val="12"/>
        <rFont val="微軟正黑體"/>
        <family val="2"/>
        <charset val="136"/>
      </rPr>
      <t>客戶訴怨案件追蹤管制表（</t>
    </r>
    <r>
      <rPr>
        <sz val="12"/>
        <rFont val="Calibri"/>
        <family val="2"/>
      </rPr>
      <t>S2-003-B</t>
    </r>
    <r>
      <rPr>
        <sz val="12"/>
        <rFont val="微軟正黑體"/>
        <family val="2"/>
        <charset val="136"/>
      </rPr>
      <t>）</t>
    </r>
    <phoneticPr fontId="5" type="noConversion"/>
  </si>
  <si>
    <r>
      <rPr>
        <sz val="12"/>
        <rFont val="微軟正黑體"/>
        <family val="2"/>
        <charset val="136"/>
      </rPr>
      <t>若為公司品質問題，品保單位依「矯正與預防措施管制程序（</t>
    </r>
    <r>
      <rPr>
        <sz val="12"/>
        <rFont val="Calibri"/>
        <family val="2"/>
      </rPr>
      <t xml:space="preserve">Q2-005 </t>
    </r>
    <r>
      <rPr>
        <sz val="12"/>
        <rFont val="微軟正黑體"/>
        <family val="2"/>
        <charset val="136"/>
      </rPr>
      <t>）」進行異常原因之調查及分析，並編製矯正預防措施之相關報告，並視客戶需求填寫「</t>
    </r>
    <r>
      <rPr>
        <sz val="12"/>
        <rFont val="Calibri"/>
        <family val="2"/>
      </rPr>
      <t>8D Report</t>
    </r>
    <r>
      <rPr>
        <sz val="12"/>
        <rFont val="微軟正黑體"/>
        <family val="2"/>
        <charset val="136"/>
      </rPr>
      <t>（</t>
    </r>
    <r>
      <rPr>
        <sz val="12"/>
        <rFont val="Calibri"/>
        <family val="2"/>
      </rPr>
      <t>Q2-005-A</t>
    </r>
    <r>
      <rPr>
        <sz val="12"/>
        <rFont val="微軟正黑體"/>
        <family val="2"/>
        <charset val="136"/>
      </rPr>
      <t>）」，提供予業務單位，由業務單位提供予客戶進行溝通，客戶接受後始能結案。</t>
    </r>
    <phoneticPr fontId="5" type="noConversion"/>
  </si>
  <si>
    <r>
      <t>8D Report</t>
    </r>
    <r>
      <rPr>
        <sz val="12"/>
        <rFont val="微軟正黑體"/>
        <family val="2"/>
        <charset val="136"/>
      </rPr>
      <t>（</t>
    </r>
    <r>
      <rPr>
        <sz val="12"/>
        <rFont val="Calibri"/>
        <family val="2"/>
      </rPr>
      <t>Q2-005-A</t>
    </r>
    <r>
      <rPr>
        <sz val="12"/>
        <rFont val="微軟正黑體"/>
        <family val="2"/>
        <charset val="136"/>
      </rPr>
      <t>）</t>
    </r>
    <phoneticPr fontId="5" type="noConversion"/>
  </si>
  <si>
    <r>
      <rPr>
        <sz val="12"/>
        <rFont val="微軟正黑體"/>
        <family val="2"/>
        <charset val="136"/>
      </rPr>
      <t>所有客訴案件皆登錄於「客戶訴怨案件追蹤管制表（</t>
    </r>
    <r>
      <rPr>
        <sz val="12"/>
        <rFont val="Calibri"/>
        <family val="2"/>
      </rPr>
      <t>S2-003-B</t>
    </r>
    <r>
      <rPr>
        <sz val="12"/>
        <rFont val="微軟正黑體"/>
        <family val="2"/>
        <charset val="136"/>
      </rPr>
      <t>）」，「客戶訴怨處理單（</t>
    </r>
    <r>
      <rPr>
        <sz val="12"/>
        <rFont val="Calibri"/>
        <family val="2"/>
      </rPr>
      <t>S2-003-A</t>
    </r>
    <r>
      <rPr>
        <sz val="12"/>
        <rFont val="微軟正黑體"/>
        <family val="2"/>
        <charset val="136"/>
      </rPr>
      <t>）」及相關矯正預防措施報告由品保單位歸檔保存。</t>
    </r>
    <phoneticPr fontId="5" type="noConversion"/>
  </si>
  <si>
    <r>
      <t xml:space="preserve">1. </t>
    </r>
    <r>
      <rPr>
        <sz val="12"/>
        <rFont val="微軟正黑體"/>
        <family val="2"/>
        <charset val="136"/>
      </rPr>
      <t>客戶訴怨案件追蹤管制表（</t>
    </r>
    <r>
      <rPr>
        <sz val="12"/>
        <rFont val="Calibri"/>
        <family val="2"/>
      </rPr>
      <t>S2-003-B</t>
    </r>
    <r>
      <rPr>
        <sz val="12"/>
        <rFont val="微軟正黑體"/>
        <family val="2"/>
        <charset val="136"/>
      </rPr>
      <t xml:space="preserve">）
</t>
    </r>
    <r>
      <rPr>
        <sz val="12"/>
        <rFont val="Calibri"/>
        <family val="2"/>
      </rPr>
      <t xml:space="preserve">2. </t>
    </r>
    <r>
      <rPr>
        <sz val="12"/>
        <rFont val="微軟正黑體"/>
        <family val="2"/>
        <charset val="136"/>
      </rPr>
      <t>客戶訴怨處理單（</t>
    </r>
    <r>
      <rPr>
        <sz val="12"/>
        <rFont val="Calibri"/>
        <family val="2"/>
      </rPr>
      <t>S2-003-A</t>
    </r>
    <r>
      <rPr>
        <sz val="12"/>
        <rFont val="微軟正黑體"/>
        <family val="2"/>
        <charset val="136"/>
      </rPr>
      <t>）及相關矯正預防措施報告</t>
    </r>
    <phoneticPr fontId="5" type="noConversion"/>
  </si>
  <si>
    <r>
      <rPr>
        <sz val="12"/>
        <rFont val="微軟正黑體"/>
        <family val="2"/>
        <charset val="136"/>
      </rPr>
      <t>折讓單</t>
    </r>
    <r>
      <rPr>
        <sz val="12"/>
        <rFont val="Calibri"/>
        <family val="2"/>
      </rPr>
      <t>(Credit Note)</t>
    </r>
    <r>
      <rPr>
        <sz val="12"/>
        <rFont val="微軟正黑體"/>
        <family val="2"/>
        <charset val="136"/>
      </rPr>
      <t>應記錄於適當之會計期間。</t>
    </r>
  </si>
  <si>
    <r>
      <t>Credit Note</t>
    </r>
    <r>
      <rPr>
        <sz val="12"/>
        <rFont val="微軟正黑體"/>
        <family val="2"/>
        <charset val="136"/>
      </rPr>
      <t>需透過</t>
    </r>
    <r>
      <rPr>
        <sz val="12"/>
        <rFont val="Calibri"/>
        <family val="2"/>
      </rPr>
      <t>ERP</t>
    </r>
    <r>
      <rPr>
        <sz val="12"/>
        <rFont val="微軟正黑體"/>
        <family val="2"/>
        <charset val="136"/>
      </rPr>
      <t>系統取號，由業務支援單位權責人員依序於</t>
    </r>
    <r>
      <rPr>
        <sz val="12"/>
        <rFont val="Calibri"/>
        <family val="2"/>
      </rPr>
      <t>ERP</t>
    </r>
    <r>
      <rPr>
        <sz val="12"/>
        <rFont val="微軟正黑體"/>
        <family val="2"/>
        <charset val="136"/>
      </rPr>
      <t>系統建立銷貨折讓資料。</t>
    </r>
    <phoneticPr fontId="5" type="noConversion"/>
  </si>
  <si>
    <r>
      <rPr>
        <sz val="12"/>
        <rFont val="微軟正黑體"/>
        <family val="2"/>
        <charset val="136"/>
      </rPr>
      <t>折讓單</t>
    </r>
    <r>
      <rPr>
        <sz val="12"/>
        <rFont val="Calibri"/>
        <family val="2"/>
      </rPr>
      <t>(Credit Note)</t>
    </r>
    <r>
      <rPr>
        <sz val="12"/>
        <rFont val="微軟正黑體"/>
        <family val="2"/>
        <charset val="136"/>
      </rPr>
      <t>所記載之金額及相應之帳務處理應計算正確並經正確記錄。</t>
    </r>
  </si>
  <si>
    <r>
      <t xml:space="preserve">1. </t>
    </r>
    <r>
      <rPr>
        <sz val="12"/>
        <rFont val="微軟正黑體"/>
        <family val="2"/>
        <charset val="136"/>
      </rPr>
      <t>業務支援單位取得客戶提供之「</t>
    </r>
    <r>
      <rPr>
        <sz val="12"/>
        <rFont val="Calibri"/>
        <family val="2"/>
      </rPr>
      <t>Debit Note</t>
    </r>
    <r>
      <rPr>
        <sz val="12"/>
        <rFont val="微軟正黑體"/>
        <family val="2"/>
        <charset val="136"/>
      </rPr>
      <t>」或「折讓單」後，於</t>
    </r>
    <r>
      <rPr>
        <sz val="12"/>
        <rFont val="Calibri"/>
        <family val="2"/>
      </rPr>
      <t>ERP</t>
    </r>
    <r>
      <rPr>
        <sz val="12"/>
        <rFont val="微軟正黑體"/>
        <family val="2"/>
        <charset val="136"/>
      </rPr>
      <t>系統開立「</t>
    </r>
    <r>
      <rPr>
        <sz val="12"/>
        <rFont val="Calibri"/>
        <family val="2"/>
      </rPr>
      <t>Credit Note</t>
    </r>
    <r>
      <rPr>
        <sz val="12"/>
        <rFont val="微軟正黑體"/>
        <family val="2"/>
        <charset val="136"/>
      </rPr>
      <t xml:space="preserve">」，並印出呈權責主管覆核。
</t>
    </r>
    <r>
      <rPr>
        <sz val="12"/>
        <rFont val="Calibri"/>
        <family val="2"/>
      </rPr>
      <t xml:space="preserve">2. </t>
    </r>
    <r>
      <rPr>
        <sz val="12"/>
        <rFont val="微軟正黑體"/>
        <family val="2"/>
        <charset val="136"/>
      </rPr>
      <t>業務支援單位將相關憑證如「</t>
    </r>
    <r>
      <rPr>
        <sz val="12"/>
        <rFont val="Calibri"/>
        <family val="2"/>
      </rPr>
      <t>Debit Note</t>
    </r>
    <r>
      <rPr>
        <sz val="12"/>
        <rFont val="微軟正黑體"/>
        <family val="2"/>
        <charset val="136"/>
      </rPr>
      <t>」、「折讓單」及經核准之「</t>
    </r>
    <r>
      <rPr>
        <sz val="12"/>
        <rFont val="Calibri"/>
        <family val="2"/>
      </rPr>
      <t>Credit Note</t>
    </r>
    <r>
      <rPr>
        <sz val="12"/>
        <rFont val="微軟正黑體"/>
        <family val="2"/>
        <charset val="136"/>
      </rPr>
      <t>」提供予會計單位審核，審核通過後，會計單位於</t>
    </r>
    <r>
      <rPr>
        <sz val="12"/>
        <rFont val="Calibri"/>
        <family val="2"/>
      </rPr>
      <t>ERP</t>
    </r>
    <r>
      <rPr>
        <sz val="12"/>
        <rFont val="微軟正黑體"/>
        <family val="2"/>
        <charset val="136"/>
      </rPr>
      <t>系統核發銷貨折讓，並產生「銷貨折讓傳票」，印出呈權責主管覆核。</t>
    </r>
    <phoneticPr fontId="5" type="noConversion"/>
  </si>
  <si>
    <r>
      <rPr>
        <sz val="12"/>
        <rFont val="微軟正黑體"/>
        <family val="2"/>
        <charset val="136"/>
      </rPr>
      <t>銷貨退回帳務處理作業管理辦法（</t>
    </r>
    <r>
      <rPr>
        <sz val="12"/>
        <rFont val="Calibri"/>
        <family val="2"/>
      </rPr>
      <t>S6-004</t>
    </r>
    <r>
      <rPr>
        <sz val="12"/>
        <rFont val="微軟正黑體"/>
        <family val="2"/>
        <charset val="136"/>
      </rPr>
      <t>）</t>
    </r>
    <phoneticPr fontId="5" type="noConversion"/>
  </si>
  <si>
    <r>
      <t xml:space="preserve">1. Debit Note
2. </t>
    </r>
    <r>
      <rPr>
        <sz val="12"/>
        <rFont val="微軟正黑體"/>
        <family val="2"/>
        <charset val="136"/>
      </rPr>
      <t xml:space="preserve">折讓單
</t>
    </r>
    <r>
      <rPr>
        <sz val="12"/>
        <rFont val="Calibri"/>
        <family val="2"/>
      </rPr>
      <t xml:space="preserve">3. Credit Note
4. </t>
    </r>
    <r>
      <rPr>
        <sz val="12"/>
        <rFont val="微軟正黑體"/>
        <family val="2"/>
        <charset val="136"/>
      </rPr>
      <t>銷貨折讓傳票</t>
    </r>
    <phoneticPr fontId="5" type="noConversion"/>
  </si>
  <si>
    <r>
      <t xml:space="preserve">1. </t>
    </r>
    <r>
      <rPr>
        <sz val="12"/>
        <rFont val="微軟正黑體"/>
        <family val="2"/>
        <charset val="136"/>
      </rPr>
      <t>銷貨退回帳務處理作業管理辦法（</t>
    </r>
    <r>
      <rPr>
        <sz val="12"/>
        <rFont val="Calibri"/>
        <family val="2"/>
      </rPr>
      <t>S6-004</t>
    </r>
    <r>
      <rPr>
        <sz val="12"/>
        <rFont val="微軟正黑體"/>
        <family val="2"/>
        <charset val="136"/>
      </rPr>
      <t xml:space="preserve">）
</t>
    </r>
    <r>
      <rPr>
        <sz val="12"/>
        <rFont val="Calibri"/>
        <family val="2"/>
      </rPr>
      <t xml:space="preserve">2. </t>
    </r>
    <r>
      <rPr>
        <sz val="12"/>
        <rFont val="微軟正黑體"/>
        <family val="2"/>
        <charset val="136"/>
      </rPr>
      <t>銷貨退回相關作業一覽表（</t>
    </r>
    <r>
      <rPr>
        <sz val="12"/>
        <rFont val="Calibri"/>
        <family val="2"/>
      </rPr>
      <t>S6-004-A</t>
    </r>
    <r>
      <rPr>
        <sz val="12"/>
        <rFont val="微軟正黑體"/>
        <family val="2"/>
        <charset val="136"/>
      </rPr>
      <t>）</t>
    </r>
    <phoneticPr fontId="5" type="noConversion"/>
  </si>
  <si>
    <r>
      <rPr>
        <sz val="12"/>
        <rFont val="微軟正黑體"/>
        <family val="2"/>
        <charset val="136"/>
      </rPr>
      <t>針對銷貨退回及銷貨折讓相關申請程序及帳務內容，已於「銷貨退回帳務處理作業管理辦法（</t>
    </r>
    <r>
      <rPr>
        <sz val="12"/>
        <rFont val="Calibri"/>
        <family val="2"/>
      </rPr>
      <t>S6-004</t>
    </r>
    <r>
      <rPr>
        <sz val="12"/>
        <rFont val="微軟正黑體"/>
        <family val="2"/>
        <charset val="136"/>
      </rPr>
      <t>）」進行規範。此外，銷貨退回及銷貨折讓申請需檢附之文件亦規範於「銷貨退回相關作業一覽表（</t>
    </r>
    <r>
      <rPr>
        <sz val="12"/>
        <rFont val="Calibri"/>
        <family val="2"/>
      </rPr>
      <t>S6-004-A</t>
    </r>
    <r>
      <rPr>
        <sz val="12"/>
        <rFont val="微軟正黑體"/>
        <family val="2"/>
        <charset val="136"/>
      </rPr>
      <t>）」。</t>
    </r>
    <phoneticPr fontId="5" type="noConversion"/>
  </si>
  <si>
    <r>
      <rPr>
        <sz val="12"/>
        <rFont val="微軟正黑體"/>
        <family val="2"/>
        <charset val="136"/>
      </rPr>
      <t>業務支援單位收到退貨需求後，通知倉管單位進行收貨作業，倉管單位進行貨物點收，由品保單位執行退貨貨品品檢，並通知業務支援單位實物清點結果。完成後業務支援依據處理方式不同於</t>
    </r>
    <r>
      <rPr>
        <sz val="12"/>
        <rFont val="Calibri"/>
        <family val="2"/>
      </rPr>
      <t>ERP</t>
    </r>
    <r>
      <rPr>
        <sz val="12"/>
        <rFont val="微軟正黑體"/>
        <family val="2"/>
        <charset val="136"/>
      </rPr>
      <t>系統開立「退貨訂單」或「換貨訂單」後，印出呈權責主管覆核。</t>
    </r>
    <phoneticPr fontId="5" type="noConversion"/>
  </si>
  <si>
    <r>
      <t xml:space="preserve">1. </t>
    </r>
    <r>
      <rPr>
        <sz val="12"/>
        <rFont val="微軟正黑體"/>
        <family val="2"/>
        <charset val="136"/>
      </rPr>
      <t xml:space="preserve">退貨訂單
</t>
    </r>
    <r>
      <rPr>
        <sz val="12"/>
        <rFont val="Calibri"/>
        <family val="2"/>
      </rPr>
      <t xml:space="preserve">2. </t>
    </r>
    <r>
      <rPr>
        <sz val="12"/>
        <rFont val="微軟正黑體"/>
        <family val="2"/>
        <charset val="136"/>
      </rPr>
      <t>換貨訂單</t>
    </r>
    <phoneticPr fontId="5" type="noConversion"/>
  </si>
  <si>
    <r>
      <t xml:space="preserve">1. </t>
    </r>
    <r>
      <rPr>
        <sz val="12"/>
        <rFont val="微軟正黑體"/>
        <family val="2"/>
        <charset val="136"/>
      </rPr>
      <t xml:space="preserve">業務支援單位
</t>
    </r>
    <r>
      <rPr>
        <sz val="12"/>
        <rFont val="Calibri"/>
        <family val="2"/>
      </rPr>
      <t xml:space="preserve">2. </t>
    </r>
    <r>
      <rPr>
        <sz val="12"/>
        <rFont val="微軟正黑體"/>
        <family val="2"/>
        <charset val="136"/>
      </rPr>
      <t xml:space="preserve">倉管單位
</t>
    </r>
    <r>
      <rPr>
        <sz val="12"/>
        <rFont val="Calibri"/>
        <family val="2"/>
      </rPr>
      <t xml:space="preserve">3. </t>
    </r>
    <r>
      <rPr>
        <sz val="12"/>
        <rFont val="微軟正黑體"/>
        <family val="2"/>
        <charset val="136"/>
      </rPr>
      <t>品保單位</t>
    </r>
    <phoneticPr fontId="5" type="noConversion"/>
  </si>
  <si>
    <r>
      <t xml:space="preserve">1. </t>
    </r>
    <r>
      <rPr>
        <sz val="12"/>
        <rFont val="微軟正黑體"/>
        <family val="2"/>
        <charset val="136"/>
      </rPr>
      <t xml:space="preserve">退貨明細
</t>
    </r>
    <r>
      <rPr>
        <sz val="12"/>
        <rFont val="Calibri"/>
        <family val="2"/>
      </rPr>
      <t xml:space="preserve">2. </t>
    </r>
    <r>
      <rPr>
        <sz val="12"/>
        <rFont val="微軟正黑體"/>
        <family val="2"/>
        <charset val="136"/>
      </rPr>
      <t xml:space="preserve">退貨訂單
</t>
    </r>
    <r>
      <rPr>
        <sz val="12"/>
        <rFont val="Calibri"/>
        <family val="2"/>
      </rPr>
      <t xml:space="preserve">3. </t>
    </r>
    <r>
      <rPr>
        <sz val="12"/>
        <rFont val="微軟正黑體"/>
        <family val="2"/>
        <charset val="136"/>
      </rPr>
      <t>換貨訂單</t>
    </r>
    <phoneticPr fontId="5" type="noConversion"/>
  </si>
  <si>
    <r>
      <t xml:space="preserve">1. </t>
    </r>
    <r>
      <rPr>
        <sz val="12"/>
        <rFont val="微軟正黑體"/>
        <family val="2"/>
        <charset val="136"/>
      </rPr>
      <t xml:space="preserve">業務支援單位
</t>
    </r>
    <r>
      <rPr>
        <sz val="12"/>
        <rFont val="Calibri"/>
        <family val="2"/>
      </rPr>
      <t xml:space="preserve">2. </t>
    </r>
    <r>
      <rPr>
        <sz val="12"/>
        <rFont val="微軟正黑體"/>
        <family val="2"/>
        <charset val="136"/>
      </rPr>
      <t>倉管單位</t>
    </r>
    <phoneticPr fontId="5" type="noConversion"/>
  </si>
  <si>
    <r>
      <rPr>
        <sz val="12"/>
        <rFont val="微軟正黑體"/>
        <family val="2"/>
        <charset val="136"/>
      </rPr>
      <t>銷貨退回及銷貨折讓申請應依據「銷貨退回相關作業一覽表（</t>
    </r>
    <r>
      <rPr>
        <sz val="12"/>
        <rFont val="Calibri"/>
        <family val="2"/>
      </rPr>
      <t>S6-004-A</t>
    </r>
    <r>
      <rPr>
        <sz val="12"/>
        <rFont val="微軟正黑體"/>
        <family val="2"/>
        <charset val="136"/>
      </rPr>
      <t>）」取得需檢附之文件，會計單位取得已開立之「營業人銷貨退回折讓證明單」，確認折讓資訊皆經客戶用印發票章後予以入帳。</t>
    </r>
    <phoneticPr fontId="5" type="noConversion"/>
  </si>
  <si>
    <r>
      <t xml:space="preserve">1. </t>
    </r>
    <r>
      <rPr>
        <sz val="12"/>
        <rFont val="微軟正黑體"/>
        <family val="2"/>
        <charset val="136"/>
      </rPr>
      <t>銷貨退回相關作業一覽表（</t>
    </r>
    <r>
      <rPr>
        <sz val="12"/>
        <rFont val="Calibri"/>
        <family val="2"/>
      </rPr>
      <t>S6-004-A</t>
    </r>
    <r>
      <rPr>
        <sz val="12"/>
        <rFont val="微軟正黑體"/>
        <family val="2"/>
        <charset val="136"/>
      </rPr>
      <t xml:space="preserve">）
</t>
    </r>
    <r>
      <rPr>
        <sz val="12"/>
        <rFont val="Calibri"/>
        <family val="2"/>
      </rPr>
      <t xml:space="preserve">2. </t>
    </r>
    <r>
      <rPr>
        <sz val="12"/>
        <rFont val="微軟正黑體"/>
        <family val="2"/>
        <charset val="136"/>
      </rPr>
      <t>營業人銷貨退回折讓證明單</t>
    </r>
    <phoneticPr fontId="5" type="noConversion"/>
  </si>
  <si>
    <r>
      <t xml:space="preserve">1. </t>
    </r>
    <r>
      <rPr>
        <sz val="12"/>
        <rFont val="微軟正黑體"/>
        <family val="2"/>
        <charset val="136"/>
      </rPr>
      <t>存貨倉報廢相關控管程序請詳生產循環</t>
    </r>
    <r>
      <rPr>
        <sz val="12"/>
        <rFont val="Calibri"/>
        <family val="2"/>
      </rPr>
      <t>CO108-1</t>
    </r>
    <r>
      <rPr>
        <sz val="12"/>
        <rFont val="微軟正黑體"/>
        <family val="2"/>
        <charset val="136"/>
      </rPr>
      <t xml:space="preserve">。
</t>
    </r>
    <r>
      <rPr>
        <sz val="12"/>
        <rFont val="Calibri"/>
        <family val="2"/>
      </rPr>
      <t xml:space="preserve">2. </t>
    </r>
    <r>
      <rPr>
        <sz val="12"/>
        <rFont val="微軟正黑體"/>
        <family val="2"/>
        <charset val="136"/>
      </rPr>
      <t>非存貨倉報廢：每月倉管單位與權責單位確認非存貨倉之存貨狀況，提出報廢「簽呈」，經各權責單位及執行長會簽後，執行非存貨倉報廢作業，後續清運相關作業請</t>
    </r>
    <r>
      <rPr>
        <sz val="12"/>
        <rFont val="Calibri"/>
        <family val="2"/>
      </rPr>
      <t xml:space="preserve">Refer to </t>
    </r>
    <r>
      <rPr>
        <sz val="12"/>
        <rFont val="微軟正黑體"/>
        <family val="2"/>
        <charset val="136"/>
      </rPr>
      <t>生產循環</t>
    </r>
    <r>
      <rPr>
        <sz val="12"/>
        <rFont val="Calibri"/>
        <family val="2"/>
      </rPr>
      <t xml:space="preserve"> CO108-4</t>
    </r>
    <r>
      <rPr>
        <sz val="12"/>
        <rFont val="微軟正黑體"/>
        <family val="2"/>
        <charset val="136"/>
      </rPr>
      <t>。</t>
    </r>
    <phoneticPr fontId="5" type="noConversion"/>
  </si>
  <si>
    <r>
      <rPr>
        <sz val="12"/>
        <rFont val="微軟正黑體"/>
        <family val="2"/>
        <charset val="136"/>
      </rPr>
      <t>報廢作業管理辦法（</t>
    </r>
    <r>
      <rPr>
        <sz val="12"/>
        <rFont val="Calibri"/>
        <family val="2"/>
      </rPr>
      <t>O3-005</t>
    </r>
    <r>
      <rPr>
        <sz val="12"/>
        <rFont val="微軟正黑體"/>
        <family val="2"/>
        <charset val="136"/>
      </rPr>
      <t>）</t>
    </r>
    <phoneticPr fontId="5" type="noConversion"/>
  </si>
  <si>
    <r>
      <rPr>
        <sz val="12"/>
        <rFont val="微軟正黑體"/>
        <family val="2"/>
        <charset val="136"/>
      </rPr>
      <t>產品銷毀作業完成後之清運商處理後續作業與原物料、在製品程序相同，詳細清運處理流程請</t>
    </r>
    <r>
      <rPr>
        <sz val="12"/>
        <rFont val="Calibri"/>
        <family val="2"/>
      </rPr>
      <t xml:space="preserve">Refer to </t>
    </r>
    <r>
      <rPr>
        <sz val="12"/>
        <rFont val="微軟正黑體"/>
        <family val="2"/>
        <charset val="136"/>
      </rPr>
      <t>生產循環</t>
    </r>
    <r>
      <rPr>
        <sz val="12"/>
        <rFont val="Calibri"/>
        <family val="2"/>
      </rPr>
      <t xml:space="preserve"> CO108-4</t>
    </r>
    <r>
      <rPr>
        <sz val="12"/>
        <rFont val="微軟正黑體"/>
        <family val="2"/>
        <charset val="136"/>
      </rPr>
      <t>。</t>
    </r>
    <phoneticPr fontId="5" type="noConversion"/>
  </si>
  <si>
    <r>
      <t xml:space="preserve">Refer to </t>
    </r>
    <r>
      <rPr>
        <sz val="12"/>
        <rFont val="微軟正黑體"/>
        <family val="2"/>
        <charset val="136"/>
      </rPr>
      <t>生產循環</t>
    </r>
    <r>
      <rPr>
        <sz val="12"/>
        <rFont val="Calibri"/>
        <family val="2"/>
      </rPr>
      <t>CO108-4</t>
    </r>
    <phoneticPr fontId="5" type="noConversion"/>
  </si>
  <si>
    <r>
      <rPr>
        <sz val="12"/>
        <rFont val="微軟正黑體"/>
        <family val="2"/>
        <charset val="136"/>
      </rPr>
      <t>產品報廢向主管機關之申請與核准流程與原物料、在製品程序相同，詳細申報處理流程請</t>
    </r>
    <r>
      <rPr>
        <sz val="12"/>
        <rFont val="Calibri"/>
        <family val="2"/>
      </rPr>
      <t xml:space="preserve">Refer to </t>
    </r>
    <r>
      <rPr>
        <sz val="12"/>
        <rFont val="微軟正黑體"/>
        <family val="2"/>
        <charset val="136"/>
      </rPr>
      <t>生產循環</t>
    </r>
    <r>
      <rPr>
        <sz val="12"/>
        <rFont val="Calibri"/>
        <family val="2"/>
      </rPr>
      <t xml:space="preserve"> CO108-1</t>
    </r>
    <r>
      <rPr>
        <sz val="12"/>
        <rFont val="微軟正黑體"/>
        <family val="2"/>
        <charset val="136"/>
      </rPr>
      <t>。</t>
    </r>
    <phoneticPr fontId="5" type="noConversion"/>
  </si>
  <si>
    <r>
      <t xml:space="preserve">Refer to </t>
    </r>
    <r>
      <rPr>
        <sz val="12"/>
        <rFont val="微軟正黑體"/>
        <family val="2"/>
        <charset val="136"/>
      </rPr>
      <t>生產循環</t>
    </r>
    <r>
      <rPr>
        <sz val="12"/>
        <rFont val="Calibri"/>
        <family val="2"/>
      </rPr>
      <t>CO108-1</t>
    </r>
    <phoneticPr fontId="5" type="noConversion"/>
  </si>
  <si>
    <r>
      <t xml:space="preserve">1. </t>
    </r>
    <r>
      <rPr>
        <sz val="12"/>
        <rFont val="微軟正黑體"/>
        <family val="2"/>
        <charset val="136"/>
      </rPr>
      <t xml:space="preserve">業務支援單位
</t>
    </r>
    <r>
      <rPr>
        <sz val="12"/>
        <rFont val="Calibri"/>
        <family val="2"/>
      </rPr>
      <t xml:space="preserve">2. </t>
    </r>
    <r>
      <rPr>
        <sz val="12"/>
        <rFont val="微軟正黑體"/>
        <family val="2"/>
        <charset val="136"/>
      </rPr>
      <t>運營單位</t>
    </r>
    <phoneticPr fontId="5" type="noConversion"/>
  </si>
  <si>
    <r>
      <rPr>
        <sz val="12"/>
        <rFont val="微軟正黑體"/>
        <family val="2"/>
        <charset val="136"/>
      </rPr>
      <t>為確保公司符合相關戰略性高科技貨品管制要求，如有貨品出口至受法規管制之區域，須提出申請取得核可，並於每次進行輸出入時，向主管機關進行申報。惟目前公司並未出口商品至受法規管制之區域。</t>
    </r>
    <phoneticPr fontId="5" type="noConversion"/>
  </si>
  <si>
    <r>
      <rPr>
        <sz val="12"/>
        <rFont val="微軟正黑體"/>
        <family val="2"/>
        <charset val="136"/>
      </rPr>
      <t>權責人員應定期確認</t>
    </r>
    <r>
      <rPr>
        <sz val="12"/>
        <rFont val="Calibri"/>
        <family val="2"/>
      </rPr>
      <t>Cancel Billing</t>
    </r>
    <r>
      <rPr>
        <sz val="12"/>
        <rFont val="微軟正黑體"/>
        <family val="2"/>
        <charset val="136"/>
      </rPr>
      <t>紀錄與</t>
    </r>
    <r>
      <rPr>
        <sz val="12"/>
        <rFont val="Calibri"/>
        <family val="2"/>
      </rPr>
      <t>ERP</t>
    </r>
    <r>
      <rPr>
        <sz val="12"/>
        <rFont val="微軟正黑體"/>
        <family val="2"/>
        <charset val="136"/>
      </rPr>
      <t>系統異動紀錄相符，若有不符，應進行瞭解，確認差異原因。</t>
    </r>
    <phoneticPr fontId="3" type="noConversion"/>
  </si>
  <si>
    <r>
      <rPr>
        <sz val="12"/>
        <rFont val="微軟正黑體"/>
        <family val="2"/>
        <charset val="136"/>
      </rPr>
      <t>折讓單</t>
    </r>
    <r>
      <rPr>
        <sz val="12"/>
        <rFont val="Calibri"/>
        <family val="2"/>
      </rPr>
      <t>(Credit Note)</t>
    </r>
    <r>
      <rPr>
        <sz val="12"/>
        <rFont val="微軟正黑體"/>
        <family val="2"/>
        <charset val="136"/>
      </rPr>
      <t>應記錄於適當之會計期間。</t>
    </r>
    <phoneticPr fontId="5" type="noConversion"/>
  </si>
  <si>
    <r>
      <rPr>
        <sz val="12"/>
        <rFont val="微軟正黑體"/>
        <family val="2"/>
        <charset val="136"/>
      </rPr>
      <t>業務單位依照客戶別每季、月、週取得客戶「</t>
    </r>
    <r>
      <rPr>
        <sz val="12"/>
        <rFont val="Calibri"/>
        <family val="2"/>
      </rPr>
      <t>Forecast</t>
    </r>
    <r>
      <rPr>
        <sz val="12"/>
        <rFont val="微軟正黑體"/>
        <family val="2"/>
        <charset val="136"/>
      </rPr>
      <t>」，業務支援單位統計每週營收並更新彙總「</t>
    </r>
    <r>
      <rPr>
        <sz val="12"/>
        <rFont val="Calibri"/>
        <family val="2"/>
      </rPr>
      <t>Rolling Forecast</t>
    </r>
    <r>
      <rPr>
        <sz val="12"/>
        <rFont val="微軟正黑體"/>
        <family val="2"/>
        <charset val="136"/>
      </rPr>
      <t>」上傳</t>
    </r>
    <r>
      <rPr>
        <sz val="12"/>
        <rFont val="Calibri"/>
        <family val="2"/>
      </rPr>
      <t>ERP</t>
    </r>
    <r>
      <rPr>
        <sz val="12"/>
        <rFont val="微軟正黑體"/>
        <family val="2"/>
        <charset val="136"/>
      </rPr>
      <t>系統，提供予運營單位執行生產規劃。</t>
    </r>
    <phoneticPr fontId="5" type="noConversion"/>
  </si>
  <si>
    <r>
      <rPr>
        <sz val="12"/>
        <rFont val="微軟正黑體"/>
        <family val="2"/>
        <charset val="136"/>
      </rPr>
      <t>業務支援單位權責人員依據經客戶確認之報價單或客戶訂單，於</t>
    </r>
    <r>
      <rPr>
        <sz val="12"/>
        <rFont val="Calibri"/>
        <family val="2"/>
      </rPr>
      <t>ERP</t>
    </r>
    <r>
      <rPr>
        <sz val="12"/>
        <rFont val="微軟正黑體"/>
        <family val="2"/>
        <charset val="136"/>
      </rPr>
      <t>系統建立訂單（</t>
    </r>
    <r>
      <rPr>
        <sz val="12"/>
        <rFont val="Calibri"/>
        <family val="2"/>
      </rPr>
      <t>Sales Order</t>
    </r>
    <r>
      <rPr>
        <sz val="12"/>
        <rFont val="微軟正黑體"/>
        <family val="2"/>
        <charset val="136"/>
      </rPr>
      <t>）。</t>
    </r>
    <phoneticPr fontId="5" type="noConversion"/>
  </si>
  <si>
    <r>
      <t xml:space="preserve">1. </t>
    </r>
    <r>
      <rPr>
        <sz val="12"/>
        <rFont val="微軟正黑體"/>
        <family val="2"/>
        <charset val="136"/>
      </rPr>
      <t>公司已訂定「客戶訴怨管理程序（</t>
    </r>
    <r>
      <rPr>
        <sz val="12"/>
        <rFont val="Calibri"/>
        <family val="2"/>
      </rPr>
      <t>S2-003</t>
    </r>
    <r>
      <rPr>
        <sz val="12"/>
        <rFont val="微軟正黑體"/>
        <family val="2"/>
        <charset val="136"/>
      </rPr>
      <t xml:space="preserve">）」，以供相關單位遵循。
</t>
    </r>
    <r>
      <rPr>
        <sz val="12"/>
        <rFont val="Calibri"/>
        <family val="2"/>
      </rPr>
      <t xml:space="preserve">2. </t>
    </r>
    <r>
      <rPr>
        <sz val="12"/>
        <rFont val="微軟正黑體"/>
        <family val="2"/>
        <charset val="136"/>
      </rPr>
      <t>客戶因交期、產品品質等產生抱怨，由業務單位／品保單位召開客訴會議，將客訴內容詳細填寫於「客戶訴怨處理單（</t>
    </r>
    <r>
      <rPr>
        <sz val="12"/>
        <rFont val="Calibri"/>
        <family val="2"/>
      </rPr>
      <t>S2-003-A</t>
    </r>
    <r>
      <rPr>
        <sz val="12"/>
        <rFont val="微軟正黑體"/>
        <family val="2"/>
        <charset val="136"/>
      </rPr>
      <t>）」，經權責主管覆核，「客戶訴怨處理單（</t>
    </r>
    <r>
      <rPr>
        <sz val="12"/>
        <rFont val="Calibri"/>
        <family val="2"/>
      </rPr>
      <t>S2-003-A</t>
    </r>
    <r>
      <rPr>
        <sz val="12"/>
        <rFont val="微軟正黑體"/>
        <family val="2"/>
        <charset val="136"/>
      </rPr>
      <t>）」由業務單位登錄至「客戶訴怨案件追蹤管制表（</t>
    </r>
    <r>
      <rPr>
        <sz val="12"/>
        <rFont val="Calibri"/>
        <family val="2"/>
      </rPr>
      <t>S2-003-B</t>
    </r>
    <r>
      <rPr>
        <sz val="12"/>
        <rFont val="微軟正黑體"/>
        <family val="2"/>
        <charset val="136"/>
      </rPr>
      <t>）」，用以追蹤客訴處理進度。</t>
    </r>
    <phoneticPr fontId="5" type="noConversion"/>
  </si>
  <si>
    <r>
      <t xml:space="preserve">1. </t>
    </r>
    <r>
      <rPr>
        <sz val="12"/>
        <rFont val="微軟正黑體"/>
        <family val="2"/>
        <charset val="136"/>
      </rPr>
      <t xml:space="preserve">業務支援單位
</t>
    </r>
    <r>
      <rPr>
        <sz val="12"/>
        <rFont val="Calibri"/>
        <family val="2"/>
      </rPr>
      <t xml:space="preserve">2. </t>
    </r>
    <r>
      <rPr>
        <sz val="12"/>
        <rFont val="微軟正黑體"/>
        <family val="2"/>
        <charset val="136"/>
      </rPr>
      <t xml:space="preserve">品保單位
</t>
    </r>
    <r>
      <rPr>
        <sz val="12"/>
        <rFont val="Calibri"/>
        <family val="2"/>
      </rPr>
      <t xml:space="preserve">3. </t>
    </r>
    <r>
      <rPr>
        <sz val="12"/>
        <rFont val="微軟正黑體"/>
        <family val="2"/>
        <charset val="136"/>
      </rPr>
      <t>業務單位</t>
    </r>
    <phoneticPr fontId="5" type="noConversion"/>
  </si>
  <si>
    <r>
      <t xml:space="preserve">1. </t>
    </r>
    <r>
      <rPr>
        <sz val="12"/>
        <rFont val="微軟正黑體"/>
        <family val="2"/>
        <charset val="136"/>
      </rPr>
      <t xml:space="preserve">品保單位
</t>
    </r>
    <r>
      <rPr>
        <sz val="12"/>
        <rFont val="Calibri"/>
        <family val="2"/>
      </rPr>
      <t xml:space="preserve">2. </t>
    </r>
    <r>
      <rPr>
        <sz val="12"/>
        <rFont val="微軟正黑體"/>
        <family val="2"/>
        <charset val="136"/>
      </rPr>
      <t>業務單位</t>
    </r>
    <phoneticPr fontId="5" type="noConversion"/>
  </si>
  <si>
    <r>
      <t>1.</t>
    </r>
    <r>
      <rPr>
        <strike/>
        <sz val="12"/>
        <rFont val="Calibri"/>
        <family val="2"/>
      </rPr>
      <t xml:space="preserve"> </t>
    </r>
    <r>
      <rPr>
        <sz val="12"/>
        <rFont val="微軟正黑體"/>
        <family val="2"/>
        <charset val="136"/>
      </rPr>
      <t xml:space="preserve">業務週報記錄
</t>
    </r>
    <r>
      <rPr>
        <sz val="12"/>
        <rFont val="Calibri"/>
        <family val="2"/>
      </rPr>
      <t xml:space="preserve">2. </t>
    </r>
    <r>
      <rPr>
        <sz val="12"/>
        <rFont val="微軟正黑體"/>
        <family val="2"/>
        <charset val="136"/>
      </rPr>
      <t>效益分析</t>
    </r>
    <phoneticPr fontId="5" type="noConversion"/>
  </si>
  <si>
    <r>
      <rPr>
        <sz val="12"/>
        <rFont val="微軟正黑體"/>
        <family val="2"/>
        <charset val="136"/>
      </rPr>
      <t>權責主管應定期覆核系統所產生之未結</t>
    </r>
    <r>
      <rPr>
        <sz val="12"/>
        <rFont val="Calibri"/>
        <family val="2"/>
      </rPr>
      <t>Sales Orders</t>
    </r>
    <r>
      <rPr>
        <sz val="12"/>
        <rFont val="微軟正黑體"/>
        <family val="2"/>
        <charset val="136"/>
      </rPr>
      <t>明細，以確認</t>
    </r>
    <r>
      <rPr>
        <sz val="12"/>
        <rFont val="Calibri"/>
        <family val="2"/>
      </rPr>
      <t>Sales Orders</t>
    </r>
    <r>
      <rPr>
        <sz val="12"/>
        <rFont val="微軟正黑體"/>
        <family val="2"/>
        <charset val="136"/>
      </rPr>
      <t>皆即時被處理。</t>
    </r>
    <phoneticPr fontId="5" type="noConversion"/>
  </si>
  <si>
    <r>
      <rPr>
        <sz val="12"/>
        <rFont val="微軟正黑體"/>
        <family val="2"/>
        <charset val="136"/>
      </rPr>
      <t>應定期檢討每年度銷售預測及實際銷售情形，經權責主管核准後留存相關軌跡。</t>
    </r>
    <phoneticPr fontId="2" type="noConversion"/>
  </si>
  <si>
    <r>
      <rPr>
        <sz val="12"/>
        <rFont val="微軟正黑體"/>
        <family val="2"/>
        <charset val="136"/>
      </rPr>
      <t>業務單位將「年度銷售預算計畫」展為季度客戶銷售專案項目，並執行動態銷售預測（</t>
    </r>
    <r>
      <rPr>
        <sz val="12"/>
        <rFont val="Calibri"/>
        <family val="2"/>
      </rPr>
      <t>12</t>
    </r>
    <r>
      <rPr>
        <sz val="12"/>
        <rFont val="微軟正黑體"/>
        <family val="2"/>
        <charset val="136"/>
      </rPr>
      <t>個月）作業，每週業務會議由業務單位針對營收達成率及客戶銷售專案進度提出說明，並檢討銷售預測達成率。</t>
    </r>
    <phoneticPr fontId="5" type="noConversion"/>
  </si>
  <si>
    <r>
      <rPr>
        <sz val="12"/>
        <rFont val="微軟正黑體"/>
        <family val="2"/>
        <charset val="136"/>
      </rPr>
      <t>業務週報</t>
    </r>
    <phoneticPr fontId="5" type="noConversion"/>
  </si>
  <si>
    <r>
      <t xml:space="preserve">1. </t>
    </r>
    <r>
      <rPr>
        <sz val="12"/>
        <rFont val="微軟正黑體"/>
        <family val="2"/>
        <charset val="136"/>
      </rPr>
      <t>業務單位收到客戶之報價需求後，由業務支援單位提供運費成本、運營單位提供產品成本，業務單位彙總計算報價，運營單位進行「效益評估」後，由業務單位填寫「報價檢核表（</t>
    </r>
    <r>
      <rPr>
        <sz val="12"/>
        <rFont val="Calibri"/>
        <family val="2"/>
      </rPr>
      <t>S6-013-B-01</t>
    </r>
    <r>
      <rPr>
        <sz val="12"/>
        <rFont val="微軟正黑體"/>
        <family val="2"/>
        <charset val="136"/>
      </rPr>
      <t xml:space="preserve">）」經權責主管核准。
</t>
    </r>
    <r>
      <rPr>
        <sz val="12"/>
        <rFont val="Calibri"/>
        <family val="2"/>
      </rPr>
      <t xml:space="preserve">2. </t>
    </r>
    <r>
      <rPr>
        <sz val="12"/>
        <rFont val="微軟正黑體"/>
        <family val="2"/>
        <charset val="136"/>
      </rPr>
      <t>若報價價格小於扣折舊成本，業務單位填寫「簽呈」附上經核准之「報價檢核表（</t>
    </r>
    <r>
      <rPr>
        <sz val="12"/>
        <rFont val="Calibri"/>
        <family val="2"/>
      </rPr>
      <t>S6-013-B-01</t>
    </r>
    <r>
      <rPr>
        <sz val="12"/>
        <rFont val="微軟正黑體"/>
        <family val="2"/>
        <charset val="136"/>
      </rPr>
      <t xml:space="preserve">）」及「效益評估」，呈權責單位及執行長會簽。
</t>
    </r>
    <r>
      <rPr>
        <sz val="12"/>
        <rFont val="Calibri"/>
        <family val="2"/>
      </rPr>
      <t xml:space="preserve">3. </t>
    </r>
    <r>
      <rPr>
        <sz val="12"/>
        <rFont val="微軟正黑體"/>
        <family val="2"/>
        <charset val="136"/>
      </rPr>
      <t>業務單位於</t>
    </r>
    <r>
      <rPr>
        <sz val="12"/>
        <rFont val="Calibri"/>
        <family val="2"/>
      </rPr>
      <t>SPM</t>
    </r>
    <r>
      <rPr>
        <sz val="12"/>
        <rFont val="微軟正黑體"/>
        <family val="2"/>
        <charset val="136"/>
      </rPr>
      <t>系統填寫「報價單（</t>
    </r>
    <r>
      <rPr>
        <sz val="12"/>
        <rFont val="Calibri"/>
        <family val="2"/>
      </rPr>
      <t>S2-001-A</t>
    </r>
    <r>
      <rPr>
        <sz val="12"/>
        <rFont val="微軟正黑體"/>
        <family val="2"/>
        <charset val="136"/>
      </rPr>
      <t>）」經權責主管核准後，於</t>
    </r>
    <r>
      <rPr>
        <sz val="12"/>
        <rFont val="Calibri"/>
        <family val="2"/>
      </rPr>
      <t>SPM</t>
    </r>
    <r>
      <rPr>
        <sz val="12"/>
        <rFont val="微軟正黑體"/>
        <family val="2"/>
        <charset val="136"/>
      </rPr>
      <t>系統列印並交予客戶確認。</t>
    </r>
    <phoneticPr fontId="2" type="noConversion"/>
  </si>
  <si>
    <r>
      <rPr>
        <sz val="12"/>
        <rFont val="微軟正黑體"/>
        <family val="2"/>
        <charset val="136"/>
      </rPr>
      <t>應收帳款，銷售收入淨額</t>
    </r>
  </si>
  <si>
    <r>
      <rPr>
        <sz val="12"/>
        <rFont val="微軟正黑體"/>
        <family val="2"/>
        <charset val="136"/>
      </rPr>
      <t>應收帳款，銷貨收入淨額</t>
    </r>
    <phoneticPr fontId="5" type="noConversion"/>
  </si>
  <si>
    <r>
      <rPr>
        <sz val="12"/>
        <rFont val="微軟正黑體"/>
        <family val="2"/>
        <charset val="136"/>
      </rPr>
      <t>業務支援單位每月於</t>
    </r>
    <r>
      <rPr>
        <sz val="12"/>
        <rFont val="Calibri"/>
        <family val="2"/>
      </rPr>
      <t>ERP</t>
    </r>
    <r>
      <rPr>
        <sz val="12"/>
        <rFont val="微軟正黑體"/>
        <family val="2"/>
        <charset val="136"/>
      </rPr>
      <t>系統產出未結訂單明細，與業務單位確認訂單未結之原因後，經權責主管覆核，以確認所有訂單皆有即時處理。</t>
    </r>
    <phoneticPr fontId="5" type="noConversion"/>
  </si>
  <si>
    <r>
      <rPr>
        <sz val="12"/>
        <rFont val="微軟正黑體"/>
        <family val="2"/>
        <charset val="136"/>
      </rPr>
      <t>未結訂單檢視紀錄</t>
    </r>
    <phoneticPr fontId="5" type="noConversion"/>
  </si>
  <si>
    <r>
      <rPr>
        <sz val="12"/>
        <rFont val="微軟正黑體"/>
        <family val="2"/>
        <charset val="136"/>
      </rPr>
      <t>存貨，
銷貨成本</t>
    </r>
    <phoneticPr fontId="5" type="noConversion"/>
  </si>
  <si>
    <r>
      <rPr>
        <sz val="12"/>
        <color theme="1"/>
        <rFont val="微軟正黑體"/>
        <family val="2"/>
        <charset val="136"/>
      </rPr>
      <t>存貨，
銷貨成本</t>
    </r>
    <phoneticPr fontId="5" type="noConversion"/>
  </si>
  <si>
    <r>
      <rPr>
        <sz val="12"/>
        <rFont val="微軟正黑體"/>
        <family val="2"/>
        <charset val="136"/>
      </rPr>
      <t>應收帳款，銷售收入淨額</t>
    </r>
    <r>
      <rPr>
        <sz val="12"/>
        <rFont val="Calibri"/>
        <family val="2"/>
      </rPr>
      <t xml:space="preserve"> </t>
    </r>
  </si>
  <si>
    <r>
      <rPr>
        <sz val="12"/>
        <rFont val="微軟正黑體"/>
        <family val="2"/>
        <charset val="136"/>
      </rPr>
      <t>應收帳款，推銷費用</t>
    </r>
    <phoneticPr fontId="5" type="noConversion"/>
  </si>
  <si>
    <r>
      <rPr>
        <sz val="12"/>
        <rFont val="微軟正黑體"/>
        <family val="2"/>
        <charset val="136"/>
      </rPr>
      <t>應收帳款</t>
    </r>
  </si>
  <si>
    <r>
      <rPr>
        <sz val="12"/>
        <rFont val="微軟正黑體"/>
        <family val="2"/>
        <charset val="136"/>
      </rPr>
      <t>業務單位若確定逾期帳款無法收回者，需取得合法之備抵呆帳沖銷憑證，以簽呈形式檢附相關資料進行沖銷應收帳款備抵呆帳之申請，呈送各權責主管核准後，會計單位執行備抵呆帳沖銷入帳。</t>
    </r>
    <phoneticPr fontId="2" type="noConversion"/>
  </si>
  <si>
    <r>
      <t>1.</t>
    </r>
    <r>
      <rPr>
        <sz val="12"/>
        <rFont val="微軟正黑體"/>
        <family val="2"/>
        <charset val="136"/>
      </rPr>
      <t xml:space="preserve">業務單位
</t>
    </r>
    <r>
      <rPr>
        <sz val="12"/>
        <rFont val="Calibri"/>
        <family val="2"/>
      </rPr>
      <t>2.</t>
    </r>
    <r>
      <rPr>
        <sz val="12"/>
        <rFont val="微軟正黑體"/>
        <family val="2"/>
        <charset val="136"/>
      </rPr>
      <t>會計單位</t>
    </r>
    <phoneticPr fontId="5" type="noConversion"/>
  </si>
  <si>
    <r>
      <rPr>
        <sz val="12"/>
        <rFont val="微軟正黑體"/>
        <family val="2"/>
        <charset val="136"/>
      </rPr>
      <t>若有客戶使用支票支付貨款，財務單位通知業務支援單位提供出貨明細，以確認付款客戶。並將收受之票據資訊登載於「應收票據登記表」，並於收票當日或次日前往銀行託收。若當日不及託收，則須將票據依存放於保險櫃。</t>
    </r>
    <phoneticPr fontId="5" type="noConversion"/>
  </si>
  <si>
    <r>
      <rPr>
        <sz val="12"/>
        <rFont val="微軟正黑體"/>
        <family val="2"/>
        <charset val="136"/>
      </rPr>
      <t>客戶抱怨調查文件應依據客訴處理相關辦法執行，並經權責主管審核後回覆客戶處理方式。</t>
    </r>
    <phoneticPr fontId="2" type="noConversion"/>
  </si>
  <si>
    <r>
      <rPr>
        <sz val="12"/>
        <rFont val="微軟正黑體"/>
        <family val="2"/>
        <charset val="136"/>
      </rPr>
      <t>權責主管應注意所有接近結帳日之銷貨折讓，以確保折讓紀錄於正確之會計期間。</t>
    </r>
    <phoneticPr fontId="2" type="noConversion"/>
  </si>
  <si>
    <r>
      <rPr>
        <sz val="12"/>
        <rFont val="微軟正黑體"/>
        <family val="2"/>
        <charset val="136"/>
      </rPr>
      <t>倉管單位依據業務支援單位提供之「退貨明細」點收貨品，確認退貨數量與實際收到數量有無差異；若有差異則與客戶釐清狀況後，由業務支援單位依據實際收貨數量開立「退貨訂單」或「換貨訂單」。</t>
    </r>
    <phoneticPr fontId="5" type="noConversion"/>
  </si>
  <si>
    <r>
      <rPr>
        <sz val="12"/>
        <rFont val="微軟正黑體"/>
        <family val="2"/>
        <charset val="136"/>
      </rPr>
      <t>銷貨折讓皆取得合法外部憑證</t>
    </r>
    <phoneticPr fontId="2" type="noConversion"/>
  </si>
  <si>
    <r>
      <rPr>
        <sz val="12"/>
        <rFont val="微軟正黑體"/>
        <family val="2"/>
        <charset val="136"/>
      </rPr>
      <t>所有國內銷貨折讓應皆已取得客戶簽章之折讓單。</t>
    </r>
    <phoneticPr fontId="2" type="noConversion"/>
  </si>
  <si>
    <r>
      <rPr>
        <sz val="12"/>
        <rFont val="微軟正黑體"/>
        <family val="2"/>
        <charset val="136"/>
      </rPr>
      <t>訂單管理作業程序（</t>
    </r>
    <r>
      <rPr>
        <sz val="12"/>
        <rFont val="Calibri"/>
        <family val="2"/>
      </rPr>
      <t>S2-001</t>
    </r>
    <r>
      <rPr>
        <sz val="12"/>
        <rFont val="微軟正黑體"/>
        <family val="2"/>
        <charset val="136"/>
      </rPr>
      <t>）
進出口管理辦法（</t>
    </r>
    <r>
      <rPr>
        <sz val="12"/>
        <rFont val="Calibri"/>
        <family val="2"/>
      </rPr>
      <t>R3-001</t>
    </r>
    <r>
      <rPr>
        <sz val="12"/>
        <rFont val="微軟正黑體"/>
        <family val="2"/>
        <charset val="136"/>
      </rPr>
      <t>）</t>
    </r>
    <phoneticPr fontId="5" type="noConversion"/>
  </si>
  <si>
    <r>
      <t xml:space="preserve">1. </t>
    </r>
    <r>
      <rPr>
        <sz val="12"/>
        <rFont val="微軟正黑體"/>
        <family val="2"/>
        <charset val="136"/>
      </rPr>
      <t xml:space="preserve">關稅法
</t>
    </r>
    <r>
      <rPr>
        <sz val="12"/>
        <rFont val="Calibri"/>
        <family val="2"/>
      </rPr>
      <t xml:space="preserve">2. </t>
    </r>
    <r>
      <rPr>
        <sz val="12"/>
        <rFont val="微軟正黑體"/>
        <family val="2"/>
        <charset val="136"/>
      </rPr>
      <t>科技產業園區設置管理條例</t>
    </r>
    <phoneticPr fontId="5" type="noConversion"/>
  </si>
  <si>
    <r>
      <rPr>
        <sz val="12"/>
        <rFont val="微軟正黑體"/>
        <family val="2"/>
        <charset val="136"/>
      </rPr>
      <t>貿易法</t>
    </r>
    <phoneticPr fontId="2" type="noConversion"/>
  </si>
  <si>
    <r>
      <rPr>
        <sz val="12"/>
        <rFont val="微軟正黑體"/>
        <family val="2"/>
        <charset val="136"/>
      </rPr>
      <t>加值型及非加值型營業稅法</t>
    </r>
    <phoneticPr fontId="5" type="noConversion"/>
  </si>
  <si>
    <r>
      <rPr>
        <sz val="12"/>
        <rFont val="微軟正黑體"/>
        <family val="2"/>
        <charset val="136"/>
      </rPr>
      <t>加值型及非加值型營業稅法</t>
    </r>
  </si>
  <si>
    <r>
      <rPr>
        <sz val="12"/>
        <rFont val="微軟正黑體"/>
        <family val="2"/>
        <charset val="136"/>
      </rPr>
      <t>進出口單位</t>
    </r>
    <phoneticPr fontId="5" type="noConversion"/>
  </si>
  <si>
    <r>
      <rPr>
        <sz val="12"/>
        <color rgb="FFFF0000"/>
        <rFont val="微軟正黑體"/>
        <family val="2"/>
        <charset val="136"/>
      </rPr>
      <t>業務支援單位權責主管定期覆核客戶主檔異動明細，以確認其客戶主檔仍屬有效及正確。</t>
    </r>
    <phoneticPr fontId="5" type="noConversion"/>
  </si>
  <si>
    <r>
      <rPr>
        <sz val="12"/>
        <color rgb="FFFF0000"/>
        <rFont val="微軟正黑體"/>
        <family val="2"/>
        <charset val="136"/>
      </rPr>
      <t>目前未規劃覆核客戶主檔異動明細。</t>
    </r>
    <phoneticPr fontId="5" type="noConversion"/>
  </si>
  <si>
    <r>
      <rPr>
        <sz val="12"/>
        <color rgb="FFFF0000"/>
        <rFont val="微軟正黑體"/>
        <family val="2"/>
        <charset val="136"/>
      </rPr>
      <t>若未定期覆核客戶主檔異動明細，可能導致有未經授權的異動而無法即時發現，無法確認客戶主檔之正確性及有效性。</t>
    </r>
    <phoneticPr fontId="5" type="noConversion"/>
  </si>
  <si>
    <r>
      <rPr>
        <sz val="12"/>
        <color rgb="FFFF0000"/>
        <rFont val="微軟正黑體"/>
        <family val="2"/>
        <charset val="136"/>
      </rPr>
      <t>詳見</t>
    </r>
    <r>
      <rPr>
        <sz val="12"/>
        <color rgb="FFFF0000"/>
        <rFont val="Calibri"/>
        <family val="2"/>
      </rPr>
      <t>R</t>
    </r>
    <r>
      <rPr>
        <sz val="12"/>
        <color rgb="FFFF0000"/>
        <rFont val="微軟正黑體"/>
        <family val="2"/>
        <charset val="136"/>
      </rPr>
      <t>欄紅字說明</t>
    </r>
    <phoneticPr fontId="2" type="noConversion"/>
  </si>
  <si>
    <r>
      <rPr>
        <sz val="12"/>
        <color rgb="FFFF0000"/>
        <rFont val="微軟正黑體"/>
        <family val="2"/>
        <charset val="136"/>
      </rPr>
      <t>業務支援單位每年於系統撈取久未交易客戶主檔清單，於</t>
    </r>
    <r>
      <rPr>
        <sz val="12"/>
        <color rgb="FFFF0000"/>
        <rFont val="Calibri"/>
        <family val="2"/>
      </rPr>
      <t>ERP</t>
    </r>
    <r>
      <rPr>
        <sz val="12"/>
        <color rgb="FFFF0000"/>
        <rFont val="微軟正黑體"/>
        <family val="2"/>
        <charset val="136"/>
      </rPr>
      <t>系統執行凍結客戶主檔作業後，經權責主管覆核。</t>
    </r>
    <phoneticPr fontId="5" type="noConversion"/>
  </si>
  <si>
    <r>
      <rPr>
        <sz val="12"/>
        <color rgb="FFFF0000"/>
        <rFont val="微軟正黑體"/>
        <family val="2"/>
        <charset val="136"/>
      </rPr>
      <t>目前未執行久未交易客戶之評估及凍結。</t>
    </r>
    <phoneticPr fontId="5" type="noConversion"/>
  </si>
  <si>
    <r>
      <rPr>
        <sz val="12"/>
        <color rgb="FFFF0000"/>
        <rFont val="微軟正黑體"/>
        <family val="2"/>
        <charset val="136"/>
      </rPr>
      <t>若未檢視及凍結長期未交易或確定不再交易之客戶，可能導致該客戶主檔未更新而遭誤用，無法確認客戶主檔之有效性。</t>
    </r>
    <phoneticPr fontId="5" type="noConversion"/>
  </si>
  <si>
    <r>
      <rPr>
        <sz val="12"/>
        <color rgb="FFFF0000"/>
        <rFont val="微軟正黑體"/>
        <family val="2"/>
        <charset val="136"/>
      </rPr>
      <t>會計單位每月依據呆帳相關管理辦法針對應收帳款分析，並依據呆帳評估結果提列呆帳，列印備抵呆帳入帳傳票，呈權責主管覆核入帳之正確性。</t>
    </r>
    <phoneticPr fontId="5" type="noConversion"/>
  </si>
  <si>
    <r>
      <rPr>
        <sz val="12"/>
        <color rgb="FFFF0000"/>
        <rFont val="微軟正黑體"/>
        <family val="2"/>
        <charset val="136"/>
      </rPr>
      <t>目前因應收帳款數量較少且皆有即時收回，未訂定呆帳相關之管理辦法，亦未針對應收帳款提列備抵呆帳。</t>
    </r>
    <phoneticPr fontId="5" type="noConversion"/>
  </si>
  <si>
    <r>
      <rPr>
        <sz val="12"/>
        <color rgb="FFFF0000"/>
        <rFont val="微軟正黑體"/>
        <family val="2"/>
        <charset val="136"/>
      </rPr>
      <t>公司如未訂定呆帳相關管理辦法並據此提列備抵呆帳，可能導致高估應收帳款，影響財務資訊表達之正確性。</t>
    </r>
    <phoneticPr fontId="5" type="noConversion"/>
  </si>
  <si>
    <r>
      <rPr>
        <sz val="12"/>
        <color rgb="FFFF0000"/>
        <rFont val="微軟正黑體"/>
        <family val="2"/>
        <charset val="136"/>
      </rPr>
      <t>若有發生銷貨折讓或退回，業務支援單位於週會時針對銷貨折讓發生之原因、數量及金額等進行報告及分析。</t>
    </r>
    <phoneticPr fontId="5" type="noConversion"/>
  </si>
  <si>
    <r>
      <rPr>
        <sz val="12"/>
        <color rgb="FFFF0000"/>
        <rFont val="微軟正黑體"/>
        <family val="2"/>
        <charset val="136"/>
      </rPr>
      <t>目前因銷貨折讓發生頻率較低，未針對銷貨折讓發生之原因等進行分析。</t>
    </r>
    <phoneticPr fontId="5" type="noConversion"/>
  </si>
  <si>
    <r>
      <rPr>
        <sz val="12"/>
        <color rgb="FFFF0000"/>
        <rFont val="微軟正黑體"/>
        <family val="2"/>
        <charset val="136"/>
      </rPr>
      <t>公司如未定期針對銷貨折讓情形進行分析，恐因未辨識出全面性之潛在議題，影響後續產品品質之控管或銷售政策之訂定。</t>
    </r>
    <phoneticPr fontId="5" type="noConversion"/>
  </si>
  <si>
    <r>
      <rPr>
        <sz val="12"/>
        <rFont val="微軟正黑體"/>
        <family val="2"/>
        <charset val="136"/>
      </rPr>
      <t>客戶之出貨交期資訊建立於</t>
    </r>
    <r>
      <rPr>
        <sz val="12"/>
        <rFont val="Calibri"/>
        <family val="2"/>
      </rPr>
      <t>ERP</t>
    </r>
    <r>
      <rPr>
        <sz val="12"/>
        <rFont val="微軟正黑體"/>
        <family val="2"/>
        <charset val="136"/>
      </rPr>
      <t>系統之訂單，業務支援單位依據訂單交期或客戶指示於</t>
    </r>
    <r>
      <rPr>
        <sz val="12"/>
        <rFont val="Calibri"/>
        <family val="2"/>
      </rPr>
      <t xml:space="preserve"> ERP </t>
    </r>
    <r>
      <rPr>
        <sz val="12"/>
        <rFont val="微軟正黑體"/>
        <family val="2"/>
        <charset val="136"/>
      </rPr>
      <t>系統開立「</t>
    </r>
    <r>
      <rPr>
        <sz val="12"/>
        <rFont val="Calibri"/>
        <family val="2"/>
      </rPr>
      <t>Delivery Note</t>
    </r>
    <r>
      <rPr>
        <sz val="12"/>
        <rFont val="微軟正黑體"/>
        <family val="2"/>
        <charset val="136"/>
      </rPr>
      <t>」。</t>
    </r>
    <phoneticPr fontId="2" type="noConversion"/>
  </si>
  <si>
    <r>
      <t xml:space="preserve">1. </t>
    </r>
    <r>
      <rPr>
        <sz val="12"/>
        <rFont val="微軟正黑體"/>
        <family val="2"/>
        <charset val="136"/>
      </rPr>
      <t xml:space="preserve">公司目前非屬加工出口區或保稅工廠。
</t>
    </r>
    <r>
      <rPr>
        <sz val="12"/>
        <rFont val="Calibri"/>
        <family val="2"/>
      </rPr>
      <t xml:space="preserve">2. </t>
    </r>
    <r>
      <rPr>
        <sz val="12"/>
        <rFont val="微軟正黑體"/>
        <family val="2"/>
        <charset val="136"/>
      </rPr>
      <t>若為外銷，由倉管人員將貨物材積資訊提供予業務支援部，再填寫「出口需求單（</t>
    </r>
    <r>
      <rPr>
        <sz val="12"/>
        <rFont val="Calibri"/>
        <family val="2"/>
      </rPr>
      <t>R3-001-B</t>
    </r>
    <r>
      <rPr>
        <sz val="12"/>
        <rFont val="微軟正黑體"/>
        <family val="2"/>
        <charset val="136"/>
      </rPr>
      <t>）」予進出口單位權責人員，進出口單位依據倉管單位提供資訊編製「</t>
    </r>
    <r>
      <rPr>
        <sz val="12"/>
        <rFont val="Calibri"/>
        <family val="2"/>
      </rPr>
      <t>Packing List</t>
    </r>
    <r>
      <rPr>
        <sz val="12"/>
        <rFont val="微軟正黑體"/>
        <family val="2"/>
        <charset val="136"/>
      </rPr>
      <t>（</t>
    </r>
    <r>
      <rPr>
        <sz val="12"/>
        <rFont val="Calibri"/>
        <family val="2"/>
      </rPr>
      <t>S2-001-D</t>
    </r>
    <r>
      <rPr>
        <sz val="12"/>
        <rFont val="微軟正黑體"/>
        <family val="2"/>
        <charset val="136"/>
      </rPr>
      <t>）」及「</t>
    </r>
    <r>
      <rPr>
        <sz val="12"/>
        <rFont val="Calibri"/>
        <family val="2"/>
      </rPr>
      <t>Invoice</t>
    </r>
    <r>
      <rPr>
        <sz val="12"/>
        <rFont val="微軟正黑體"/>
        <family val="2"/>
        <charset val="136"/>
      </rPr>
      <t>（</t>
    </r>
    <r>
      <rPr>
        <sz val="12"/>
        <rFont val="Calibri"/>
        <family val="2"/>
      </rPr>
      <t>S2-001-E</t>
    </r>
    <r>
      <rPr>
        <sz val="12"/>
        <rFont val="微軟正黑體"/>
        <family val="2"/>
        <charset val="136"/>
      </rPr>
      <t>）」等相關出口文件進行報關作業。</t>
    </r>
    <phoneticPr fontId="3" type="noConversion"/>
  </si>
  <si>
    <r>
      <rPr>
        <sz val="12"/>
        <rFont val="微軟正黑體"/>
        <family val="2"/>
        <charset val="136"/>
      </rPr>
      <t>客戶之出貨交期資訊建立於</t>
    </r>
    <r>
      <rPr>
        <sz val="12"/>
        <rFont val="Calibri"/>
        <family val="2"/>
      </rPr>
      <t>ERP</t>
    </r>
    <r>
      <rPr>
        <sz val="12"/>
        <rFont val="微軟正黑體"/>
        <family val="2"/>
        <charset val="136"/>
      </rPr>
      <t>系統之訂單，業務支援單位依據訂單交期或客戶指示於</t>
    </r>
    <r>
      <rPr>
        <sz val="12"/>
        <rFont val="Calibri"/>
        <family val="2"/>
      </rPr>
      <t>ERP</t>
    </r>
    <r>
      <rPr>
        <sz val="12"/>
        <rFont val="微軟正黑體"/>
        <family val="2"/>
        <charset val="136"/>
      </rPr>
      <t>系統開立「</t>
    </r>
    <r>
      <rPr>
        <sz val="12"/>
        <rFont val="Calibri"/>
        <family val="2"/>
      </rPr>
      <t>Delivery Note</t>
    </r>
    <r>
      <rPr>
        <sz val="12"/>
        <rFont val="微軟正黑體"/>
        <family val="2"/>
        <charset val="136"/>
      </rPr>
      <t>」。</t>
    </r>
    <phoneticPr fontId="2" type="noConversion"/>
  </si>
  <si>
    <r>
      <t xml:space="preserve">1. </t>
    </r>
    <r>
      <rPr>
        <sz val="12"/>
        <rFont val="微軟正黑體"/>
        <family val="2"/>
        <charset val="136"/>
      </rPr>
      <t>業務支援單位依據「年度銷售計劃」及「</t>
    </r>
    <r>
      <rPr>
        <sz val="12"/>
        <rFont val="Calibri"/>
        <family val="2"/>
      </rPr>
      <t>Rolling Forecast</t>
    </r>
    <r>
      <rPr>
        <sz val="12"/>
        <rFont val="微軟正黑體"/>
        <family val="2"/>
        <charset val="136"/>
      </rPr>
      <t xml:space="preserve">」，針對銷貨收入進行滾動式之追蹤管理，每週業務會議由業務單位針對營收達成率及客戶銷售專案進度提出說明，並檢討銷售預測達成率。
</t>
    </r>
    <r>
      <rPr>
        <sz val="12"/>
        <rFont val="Calibri"/>
        <family val="2"/>
      </rPr>
      <t xml:space="preserve">2. </t>
    </r>
    <r>
      <rPr>
        <sz val="12"/>
        <rFont val="微軟正黑體"/>
        <family val="2"/>
        <charset val="136"/>
      </rPr>
      <t>專案訂單結束後，經管單位提供標準成本，由運營單位提供生產良率與產品現況予經管單位後，再由經管單位彙總後提供給業務單位，進行該訂單之效益分析。</t>
    </r>
    <phoneticPr fontId="5" type="noConversion"/>
  </si>
  <si>
    <t>業務支援單位每半年進行前十大客戶之信用額度評估作業，並將明細及信用額度調整建議紀錄於「累計營收前十大客戶明細及建議報告」，財務單位視情況提供外部徵信建議事項，經權責主管及財務單位會簽。</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</si>
</sst>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yyyy/mm/dd;@"/>
    <numFmt numFmtId="177" formatCode="[$-404]ee/mm/dd;@"/>
    <numFmt numFmtId="178" formatCode="0_);[Red]\(0\)"/>
    <numFmt numFmtId="179" formatCode="0.00_);[Red]\(0.00\)"/>
    <numFmt numFmtId="180" formatCode="0.000_);[Red]\(0.000\)"/>
    <numFmt numFmtId="181" formatCode="0.0000_);[Red]\(0.0000\)"/>
    <numFmt numFmtId="182" formatCode="mm/dd/yyyy"/>
  </numFmts>
  <fonts count="65" x14ac:knownFonts="1">
    <font>
      <sz val="12"/>
      <color theme="1"/>
      <name val="新細明體"/>
      <family val="1"/>
      <charset val="136"/>
      <scheme val="minor"/>
    </font>
    <font>
      <sz val="12"/>
      <color theme="1"/>
      <name val="新細明體"/>
      <family val="2"/>
      <charset val="136"/>
      <scheme val="minor"/>
    </font>
    <font>
      <sz val="9"/>
      <name val="新細明體"/>
      <family val="1"/>
      <charset val="136"/>
    </font>
    <font>
      <sz val="9"/>
      <name val="細明體"/>
      <family val="3"/>
      <charset val="136"/>
    </font>
    <font>
      <sz val="10"/>
      <name val="Arial"/>
      <family val="2"/>
    </font>
    <font>
      <sz val="9"/>
      <name val="新細明體"/>
      <family val="1"/>
      <charset val="136"/>
    </font>
    <font>
      <b/>
      <sz val="9"/>
      <name val="Arial"/>
      <family val="2"/>
    </font>
    <font>
      <sz val="9"/>
      <color indexed="9"/>
      <name val="Arial"/>
      <family val="2"/>
    </font>
    <font>
      <sz val="9"/>
      <name val="Arial"/>
      <family val="2"/>
    </font>
    <font>
      <sz val="9"/>
      <color indexed="12"/>
      <name val="Arial"/>
      <family val="2"/>
    </font>
    <font>
      <sz val="9"/>
      <color indexed="12"/>
      <name val="Tahoma"/>
      <family val="2"/>
    </font>
    <font>
      <b/>
      <sz val="9"/>
      <name val="新細明體"/>
      <family val="1"/>
      <charset val="136"/>
    </font>
    <font>
      <b/>
      <sz val="11"/>
      <name val="新細明體"/>
      <family val="1"/>
      <charset val="136"/>
    </font>
    <font>
      <sz val="9"/>
      <color indexed="9"/>
      <name val="Tahoma"/>
      <family val="2"/>
    </font>
    <font>
      <sz val="8"/>
      <name val="Tahoma"/>
      <family val="2"/>
    </font>
    <font>
      <sz val="8"/>
      <color indexed="12"/>
      <name val="Tahoma"/>
      <family val="2"/>
    </font>
    <font>
      <sz val="9"/>
      <name val="Tahoma"/>
      <family val="2"/>
    </font>
    <font>
      <sz val="10"/>
      <color indexed="12"/>
      <name val="新細明體"/>
      <family val="1"/>
      <charset val="136"/>
    </font>
    <font>
      <sz val="9"/>
      <name val="新細明體"/>
      <family val="2"/>
      <charset val="136"/>
      <scheme val="minor"/>
    </font>
    <font>
      <sz val="12"/>
      <color theme="1"/>
      <name val="新細明體"/>
      <family val="2"/>
      <charset val="136"/>
      <scheme val="minor"/>
    </font>
    <font>
      <sz val="12"/>
      <name val="Verdana"/>
      <family val="2"/>
    </font>
    <font>
      <sz val="9"/>
      <name val="新細明體"/>
      <family val="1"/>
      <charset val="136"/>
      <scheme val="minor"/>
    </font>
    <font>
      <sz val="12"/>
      <color theme="1"/>
      <name val="Verdana"/>
      <family val="2"/>
    </font>
    <font>
      <b/>
      <sz val="12"/>
      <name val="微軟正黑體"/>
      <family val="2"/>
      <charset val="136"/>
    </font>
    <font>
      <sz val="12"/>
      <name val="微軟正黑體"/>
      <family val="2"/>
      <charset val="136"/>
    </font>
    <font>
      <sz val="12"/>
      <color theme="1"/>
      <name val="新細明體"/>
      <family val="1"/>
      <charset val="136"/>
      <scheme val="minor"/>
    </font>
    <font>
      <sz val="9"/>
      <name val="微軟正黑體"/>
      <family val="2"/>
      <charset val="136"/>
    </font>
    <font>
      <sz val="12"/>
      <color theme="1"/>
      <name val="微軟正黑體"/>
      <family val="2"/>
      <charset val="136"/>
    </font>
    <font>
      <b/>
      <sz val="12"/>
      <name val="Calibri"/>
      <family val="2"/>
    </font>
    <font>
      <sz val="12"/>
      <name val="Calibri"/>
      <family val="2"/>
    </font>
    <font>
      <sz val="12"/>
      <color theme="1"/>
      <name val="Calibri"/>
      <family val="2"/>
    </font>
    <font>
      <sz val="11"/>
      <color theme="1"/>
      <name val="新細明體"/>
      <family val="2"/>
      <charset val="136"/>
      <scheme val="minor"/>
    </font>
    <font>
      <b/>
      <sz val="10"/>
      <name val="Calibri"/>
      <family val="2"/>
    </font>
    <font>
      <sz val="10"/>
      <color theme="1"/>
      <name val="Calibri"/>
      <family val="2"/>
    </font>
    <font>
      <sz val="10"/>
      <name val="Calibri"/>
      <family val="2"/>
    </font>
    <font>
      <b/>
      <sz val="12"/>
      <color rgb="FF000000"/>
      <name val="微軟正黑體"/>
      <family val="2"/>
      <charset val="136"/>
    </font>
    <font>
      <b/>
      <sz val="9"/>
      <color indexed="9"/>
      <name val="Calibri"/>
      <family val="2"/>
    </font>
    <font>
      <b/>
      <sz val="14"/>
      <name val="Calibri"/>
      <family val="2"/>
    </font>
    <font>
      <sz val="24"/>
      <color rgb="FF92D400"/>
      <name val="Calibri"/>
      <family val="2"/>
    </font>
    <font>
      <sz val="24"/>
      <color rgb="FF002776"/>
      <name val="Calibri"/>
      <family val="2"/>
    </font>
    <font>
      <sz val="10"/>
      <color rgb="FF333333"/>
      <name val="Calibri"/>
      <family val="2"/>
    </font>
    <font>
      <b/>
      <sz val="10"/>
      <color theme="1"/>
      <name val="Calibri"/>
      <family val="2"/>
    </font>
    <font>
      <b/>
      <sz val="14"/>
      <color theme="0"/>
      <name val="Calibri"/>
      <family val="2"/>
    </font>
    <font>
      <b/>
      <sz val="14"/>
      <color theme="0"/>
      <name val="微軟正黑體"/>
      <family val="2"/>
      <charset val="136"/>
    </font>
    <font>
      <b/>
      <sz val="12"/>
      <color rgb="FF002776"/>
      <name val="Calibri"/>
      <family val="2"/>
    </font>
    <font>
      <b/>
      <sz val="12"/>
      <color rgb="FF002776"/>
      <name val="微軟正黑體"/>
      <family val="2"/>
      <charset val="136"/>
    </font>
    <font>
      <b/>
      <sz val="10"/>
      <color rgb="FF002776"/>
      <name val="Calibri"/>
      <family val="2"/>
    </font>
    <font>
      <b/>
      <sz val="10"/>
      <name val="微軟正黑體"/>
      <family val="2"/>
      <charset val="136"/>
    </font>
    <font>
      <sz val="10"/>
      <color rgb="FF333333"/>
      <name val="微軟正黑體"/>
      <family val="2"/>
      <charset val="136"/>
    </font>
    <font>
      <u/>
      <sz val="10"/>
      <color indexed="12"/>
      <name val="Arial"/>
      <family val="2"/>
    </font>
    <font>
      <u/>
      <sz val="10"/>
      <color indexed="12"/>
      <name val="Calibri"/>
      <family val="2"/>
    </font>
    <font>
      <b/>
      <sz val="10"/>
      <color indexed="9"/>
      <name val="Calibri"/>
      <family val="2"/>
    </font>
    <font>
      <b/>
      <sz val="10"/>
      <color indexed="9"/>
      <name val="微軟正黑體"/>
      <family val="2"/>
      <charset val="136"/>
    </font>
    <font>
      <sz val="10"/>
      <name val="微軟正黑體"/>
      <family val="2"/>
      <charset val="136"/>
    </font>
    <font>
      <sz val="10"/>
      <color theme="0"/>
      <name val="Calibri"/>
      <family val="2"/>
    </font>
    <font>
      <b/>
      <sz val="10"/>
      <color theme="0"/>
      <name val="微軟正黑體"/>
      <family val="2"/>
      <charset val="136"/>
    </font>
    <font>
      <sz val="10"/>
      <color rgb="FF000000"/>
      <name val="微軟正黑體"/>
      <family val="2"/>
      <charset val="136"/>
    </font>
    <font>
      <sz val="10"/>
      <color theme="1"/>
      <name val="微軟正黑體"/>
      <family val="2"/>
      <charset val="136"/>
    </font>
    <font>
      <sz val="10"/>
      <color rgb="FF333333"/>
      <name val="Calibri"/>
      <family val="2"/>
      <charset val="136"/>
    </font>
    <font>
      <sz val="10"/>
      <color rgb="FF000000"/>
      <name val="Verdana"/>
      <family val="2"/>
    </font>
    <font>
      <b/>
      <sz val="12"/>
      <color rgb="FF000000"/>
      <name val="Calibri"/>
      <family val="2"/>
    </font>
    <font>
      <strike/>
      <sz val="12"/>
      <name val="Calibri"/>
      <family val="2"/>
    </font>
    <font>
      <sz val="12"/>
      <color rgb="FFFF0000"/>
      <name val="Calibri"/>
      <family val="2"/>
    </font>
    <font>
      <sz val="12"/>
      <color rgb="FFFF0000"/>
      <name val="微軟正黑體"/>
      <family val="2"/>
      <charset val="136"/>
    </font>
    <font>
      <sz val="12"/>
      <name val="Calibri"/>
      <family val="2"/>
      <charset val="136"/>
    </font>
  </fonts>
  <fills count="14">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1"/>
        <bgColor indexed="64"/>
      </patternFill>
    </fill>
    <fill>
      <patternFill patternType="solid">
        <fgColor rgb="FFB1A0C7"/>
        <bgColor rgb="FF000000"/>
      </patternFill>
    </fill>
    <fill>
      <patternFill patternType="solid">
        <fgColor theme="7" tint="0.39997558519241921"/>
        <bgColor rgb="FF000000"/>
      </patternFill>
    </fill>
    <fill>
      <patternFill patternType="solid">
        <fgColor rgb="FFC4D79B"/>
        <bgColor rgb="FF000000"/>
      </patternFill>
    </fill>
    <fill>
      <patternFill patternType="solid">
        <fgColor rgb="FF95B3D7"/>
        <bgColor rgb="FF000000"/>
      </patternFill>
    </fill>
    <fill>
      <patternFill patternType="solid">
        <fgColor rgb="FFFABF8F"/>
        <bgColor rgb="FF000000"/>
      </patternFill>
    </fill>
    <fill>
      <patternFill patternType="solid">
        <fgColor rgb="FFFFD966"/>
        <bgColor rgb="FF000000"/>
      </patternFill>
    </fill>
    <fill>
      <patternFill patternType="solid">
        <fgColor rgb="FF002776"/>
        <bgColor indexed="64"/>
      </patternFill>
    </fill>
    <fill>
      <patternFill patternType="solid">
        <fgColor theme="0"/>
        <bgColor indexed="64"/>
      </patternFill>
    </fill>
    <fill>
      <patternFill patternType="solid">
        <fgColor rgb="FF00206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9"/>
      </left>
      <right style="thin">
        <color indexed="9"/>
      </right>
      <top style="thin">
        <color indexed="9"/>
      </top>
      <bottom style="thin">
        <color indexed="9"/>
      </bottom>
      <diagonal/>
    </border>
    <border diagonalUp="1">
      <left style="thin">
        <color indexed="58"/>
      </left>
      <right style="thin">
        <color indexed="58"/>
      </right>
      <top style="thin">
        <color indexed="58"/>
      </top>
      <bottom style="thin">
        <color indexed="58"/>
      </bottom>
      <diagonal style="thin">
        <color indexed="58"/>
      </diagonal>
    </border>
    <border>
      <left style="thin">
        <color indexed="58"/>
      </left>
      <right style="thin">
        <color indexed="58"/>
      </right>
      <top style="thin">
        <color indexed="58"/>
      </top>
      <bottom style="thin">
        <color indexed="58"/>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2776"/>
      </top>
      <bottom/>
      <diagonal/>
    </border>
    <border>
      <left style="thin">
        <color rgb="FF002776"/>
      </left>
      <right/>
      <top style="thin">
        <color rgb="FF002776"/>
      </top>
      <bottom style="thin">
        <color rgb="FF002776"/>
      </bottom>
      <diagonal/>
    </border>
    <border>
      <left/>
      <right style="thin">
        <color rgb="FF002776"/>
      </right>
      <top style="thin">
        <color rgb="FF002776"/>
      </top>
      <bottom style="thin">
        <color rgb="FF002776"/>
      </bottom>
      <diagonal/>
    </border>
    <border>
      <left/>
      <right/>
      <top style="thin">
        <color rgb="FF002776"/>
      </top>
      <bottom style="thin">
        <color rgb="FF002776"/>
      </bottom>
      <diagonal/>
    </border>
    <border>
      <left style="thin">
        <color rgb="FF002776"/>
      </left>
      <right style="thin">
        <color theme="0"/>
      </right>
      <top style="thin">
        <color rgb="FF002776"/>
      </top>
      <bottom style="thin">
        <color rgb="FF002776"/>
      </bottom>
      <diagonal/>
    </border>
    <border>
      <left style="thin">
        <color theme="0"/>
      </left>
      <right style="thin">
        <color theme="0"/>
      </right>
      <top style="thin">
        <color rgb="FF002776"/>
      </top>
      <bottom style="thin">
        <color rgb="FF002776"/>
      </bottom>
      <diagonal/>
    </border>
    <border>
      <left style="thin">
        <color theme="0"/>
      </left>
      <right style="thin">
        <color rgb="FF002776"/>
      </right>
      <top style="thin">
        <color rgb="FF002776"/>
      </top>
      <bottom style="thin">
        <color rgb="FF002776"/>
      </bottom>
      <diagonal/>
    </border>
    <border>
      <left style="thin">
        <color rgb="FF002776"/>
      </left>
      <right style="thin">
        <color rgb="FF002776"/>
      </right>
      <top style="thin">
        <color rgb="FF002776"/>
      </top>
      <bottom style="thin">
        <color rgb="FF002776"/>
      </bottom>
      <diagonal/>
    </border>
    <border>
      <left style="thin">
        <color rgb="FF002776"/>
      </left>
      <right style="thin">
        <color theme="0"/>
      </right>
      <top style="thin">
        <color rgb="FF002776"/>
      </top>
      <bottom/>
      <diagonal/>
    </border>
    <border>
      <left style="thin">
        <color rgb="FF002776"/>
      </left>
      <right/>
      <top style="thin">
        <color rgb="FF002776"/>
      </top>
      <bottom/>
      <diagonal/>
    </border>
    <border>
      <left/>
      <right style="thin">
        <color theme="0"/>
      </right>
      <top style="thin">
        <color rgb="FF002776"/>
      </top>
      <bottom/>
      <diagonal/>
    </border>
  </borders>
  <cellStyleXfs count="51">
    <xf numFmtId="177" fontId="0" fillId="0" borderId="0">
      <alignment vertical="center"/>
    </xf>
    <xf numFmtId="177" fontId="6" fillId="2" borderId="1">
      <alignment horizontal="center" vertical="center" wrapText="1"/>
    </xf>
    <xf numFmtId="177" fontId="7" fillId="0" borderId="2">
      <alignment vertical="center"/>
    </xf>
    <xf numFmtId="177" fontId="8" fillId="2" borderId="1">
      <alignment horizontal="left" vertical="center" wrapText="1"/>
    </xf>
    <xf numFmtId="40" fontId="9" fillId="3" borderId="1">
      <alignment vertical="center"/>
    </xf>
    <xf numFmtId="38" fontId="9" fillId="3" borderId="1">
      <alignment vertical="center"/>
    </xf>
    <xf numFmtId="10" fontId="9" fillId="3" borderId="1">
      <alignment vertical="center"/>
    </xf>
    <xf numFmtId="177" fontId="9" fillId="3" borderId="1">
      <alignment vertical="center" wrapText="1"/>
    </xf>
    <xf numFmtId="40" fontId="8" fillId="0" borderId="1">
      <alignment vertical="center"/>
      <protection locked="0"/>
    </xf>
    <xf numFmtId="176" fontId="8" fillId="0" borderId="1">
      <alignment vertical="center"/>
      <protection locked="0"/>
    </xf>
    <xf numFmtId="177" fontId="8" fillId="0" borderId="1">
      <alignment vertical="center"/>
      <protection locked="0"/>
    </xf>
    <xf numFmtId="177" fontId="8" fillId="0" borderId="1">
      <alignment vertical="center" wrapText="1"/>
      <protection locked="0"/>
    </xf>
    <xf numFmtId="177" fontId="4" fillId="0" borderId="0"/>
    <xf numFmtId="49" fontId="10" fillId="2" borderId="3">
      <alignment horizontal="left" vertical="center"/>
      <protection hidden="1"/>
    </xf>
    <xf numFmtId="177" fontId="11" fillId="2" borderId="1">
      <alignment horizontal="center" vertical="center" wrapText="1"/>
      <protection hidden="1"/>
    </xf>
    <xf numFmtId="177" fontId="12" fillId="0" borderId="0">
      <alignment horizontal="center" vertical="center" wrapText="1"/>
      <protection hidden="1"/>
    </xf>
    <xf numFmtId="177" fontId="13" fillId="0" borderId="2">
      <alignment vertical="center"/>
      <protection hidden="1"/>
    </xf>
    <xf numFmtId="38" fontId="14" fillId="0" borderId="1">
      <alignment vertical="center"/>
      <protection locked="0"/>
    </xf>
    <xf numFmtId="178" fontId="15" fillId="0" borderId="1">
      <alignment vertical="center"/>
      <protection locked="0"/>
    </xf>
    <xf numFmtId="179" fontId="15" fillId="0" borderId="1">
      <alignment vertical="center"/>
      <protection locked="0"/>
    </xf>
    <xf numFmtId="10" fontId="15" fillId="0" borderId="1">
      <alignment vertical="center"/>
      <protection locked="0"/>
    </xf>
    <xf numFmtId="49" fontId="14" fillId="0" borderId="1">
      <alignment horizontal="left" vertical="center" wrapText="1"/>
      <protection locked="0"/>
    </xf>
    <xf numFmtId="49" fontId="16" fillId="0" borderId="1">
      <alignment vertical="center" wrapText="1"/>
      <protection locked="0"/>
    </xf>
    <xf numFmtId="177" fontId="2" fillId="2" borderId="4">
      <alignment horizontal="left" vertical="center" wrapText="1"/>
    </xf>
    <xf numFmtId="177" fontId="17" fillId="4" borderId="4">
      <alignment horizontal="left" vertical="center" wrapText="1"/>
    </xf>
    <xf numFmtId="177" fontId="2" fillId="2" borderId="4">
      <alignment horizontal="left" vertical="center" wrapText="1"/>
      <protection hidden="1"/>
    </xf>
    <xf numFmtId="38" fontId="15" fillId="3" borderId="1">
      <alignment vertical="center"/>
    </xf>
    <xf numFmtId="38" fontId="15" fillId="3" borderId="1">
      <alignment vertical="center"/>
      <protection hidden="1"/>
    </xf>
    <xf numFmtId="178" fontId="15" fillId="3" borderId="1">
      <alignment vertical="center"/>
    </xf>
    <xf numFmtId="179" fontId="15" fillId="3" borderId="4">
      <alignment vertical="center"/>
    </xf>
    <xf numFmtId="179" fontId="15" fillId="3" borderId="4">
      <alignment vertical="center"/>
      <protection hidden="1"/>
    </xf>
    <xf numFmtId="180" fontId="15" fillId="3" borderId="4">
      <alignment vertical="center"/>
    </xf>
    <xf numFmtId="181" fontId="15" fillId="3" borderId="4">
      <alignment vertical="center"/>
    </xf>
    <xf numFmtId="178" fontId="15" fillId="3" borderId="1">
      <alignment vertical="center"/>
      <protection hidden="1"/>
    </xf>
    <xf numFmtId="10" fontId="15" fillId="3" borderId="1">
      <alignment vertical="center"/>
    </xf>
    <xf numFmtId="10" fontId="15" fillId="3" borderId="1">
      <alignment vertical="center"/>
      <protection hidden="1"/>
    </xf>
    <xf numFmtId="177" fontId="15" fillId="3" borderId="1">
      <alignment horizontal="left" vertical="center"/>
    </xf>
    <xf numFmtId="177" fontId="15" fillId="3" borderId="1">
      <alignment horizontal="left" vertical="center"/>
      <protection hidden="1"/>
    </xf>
    <xf numFmtId="177" fontId="10" fillId="3" borderId="1">
      <alignment vertical="center"/>
    </xf>
    <xf numFmtId="177" fontId="4" fillId="0" borderId="0">
      <alignment vertical="center"/>
    </xf>
    <xf numFmtId="177" fontId="19" fillId="0" borderId="0">
      <alignment vertical="center"/>
    </xf>
    <xf numFmtId="0" fontId="1" fillId="0" borderId="0">
      <alignment vertical="center"/>
    </xf>
    <xf numFmtId="177" fontId="25" fillId="0" borderId="0">
      <alignment vertical="center"/>
    </xf>
    <xf numFmtId="0" fontId="31" fillId="0" borderId="0">
      <alignment vertical="center"/>
    </xf>
    <xf numFmtId="0" fontId="4" fillId="0" borderId="0"/>
    <xf numFmtId="0" fontId="4" fillId="0" borderId="0"/>
    <xf numFmtId="0" fontId="49" fillId="0" borderId="0" applyNumberFormat="0" applyFill="0" applyBorder="0" applyAlignment="0" applyProtection="0">
      <alignment vertical="top"/>
      <protection locked="0"/>
    </xf>
    <xf numFmtId="0" fontId="4" fillId="0" borderId="0"/>
    <xf numFmtId="0" fontId="31" fillId="0" borderId="0">
      <alignment vertical="center"/>
    </xf>
    <xf numFmtId="0" fontId="4" fillId="0" borderId="0"/>
    <xf numFmtId="0" fontId="27" fillId="0" borderId="0">
      <alignment vertical="center"/>
    </xf>
  </cellStyleXfs>
  <cellXfs count="112">
    <xf numFmtId="177" fontId="0" fillId="0" borderId="0" xfId="0">
      <alignment vertical="center"/>
    </xf>
    <xf numFmtId="177" fontId="20" fillId="0" borderId="0" xfId="0" applyFont="1" applyAlignment="1">
      <alignment horizontal="center" vertical="center"/>
    </xf>
    <xf numFmtId="177" fontId="20" fillId="0" borderId="0" xfId="0" applyFont="1" applyAlignment="1">
      <alignment horizontal="center" vertical="top"/>
    </xf>
    <xf numFmtId="177" fontId="20" fillId="0" borderId="0" xfId="0" applyFont="1" applyAlignment="1">
      <alignment horizontal="left" vertical="top"/>
    </xf>
    <xf numFmtId="177" fontId="20" fillId="0" borderId="0" xfId="0" applyFont="1" applyAlignment="1">
      <alignment horizontal="left" vertical="top" wrapText="1"/>
    </xf>
    <xf numFmtId="177" fontId="20" fillId="0" borderId="0" xfId="0" applyFont="1" applyFill="1" applyAlignment="1">
      <alignment horizontal="left" vertical="top"/>
    </xf>
    <xf numFmtId="177" fontId="20" fillId="0" borderId="0" xfId="0" applyFont="1" applyAlignment="1">
      <alignment vertical="center"/>
    </xf>
    <xf numFmtId="177" fontId="20" fillId="0" borderId="0" xfId="0" applyFont="1" applyAlignment="1">
      <alignment vertical="center" wrapText="1"/>
    </xf>
    <xf numFmtId="177" fontId="22" fillId="0" borderId="0" xfId="42" applyFont="1" applyAlignment="1">
      <alignment vertical="center"/>
    </xf>
    <xf numFmtId="177" fontId="20" fillId="0" borderId="0" xfId="42" applyFont="1" applyAlignment="1">
      <alignment vertical="center"/>
    </xf>
    <xf numFmtId="0" fontId="36" fillId="0" borderId="0" xfId="44" applyFont="1" applyAlignment="1">
      <alignment horizontal="left" vertical="center" wrapText="1"/>
    </xf>
    <xf numFmtId="0" fontId="34" fillId="0" borderId="0" xfId="45" applyFont="1" applyAlignment="1">
      <alignment vertical="top"/>
    </xf>
    <xf numFmtId="0" fontId="37" fillId="0" borderId="0" xfId="44" applyFont="1" applyAlignment="1">
      <alignment vertical="top"/>
    </xf>
    <xf numFmtId="0" fontId="34" fillId="0" borderId="0" xfId="44" applyFont="1"/>
    <xf numFmtId="0" fontId="40" fillId="0" borderId="0" xfId="44" applyFont="1"/>
    <xf numFmtId="0" fontId="41" fillId="0" borderId="0" xfId="44" applyFont="1"/>
    <xf numFmtId="49" fontId="34" fillId="0" borderId="0" xfId="44" applyNumberFormat="1" applyFont="1"/>
    <xf numFmtId="0" fontId="34" fillId="0" borderId="0" xfId="44" applyFont="1" applyAlignment="1">
      <alignment horizontal="left"/>
    </xf>
    <xf numFmtId="0" fontId="34" fillId="0" borderId="0" xfId="44" applyFont="1" applyAlignment="1">
      <alignment wrapText="1"/>
    </xf>
    <xf numFmtId="0" fontId="34" fillId="0" borderId="0" xfId="45" applyFont="1" applyAlignment="1">
      <alignment vertical="center"/>
    </xf>
    <xf numFmtId="0" fontId="44" fillId="0" borderId="0" xfId="44" applyFont="1" applyAlignment="1">
      <alignment horizontal="left" vertical="center"/>
    </xf>
    <xf numFmtId="0" fontId="46" fillId="0" borderId="0" xfId="44" applyFont="1" applyAlignment="1">
      <alignment horizontal="left" vertical="center"/>
    </xf>
    <xf numFmtId="0" fontId="40" fillId="0" borderId="12" xfId="44" applyFont="1" applyBorder="1" applyAlignment="1">
      <alignment horizontal="left" vertical="center" wrapText="1"/>
    </xf>
    <xf numFmtId="0" fontId="40" fillId="0" borderId="14" xfId="44" applyFont="1" applyBorder="1" applyAlignment="1">
      <alignment horizontal="left" vertical="center" wrapText="1"/>
    </xf>
    <xf numFmtId="0" fontId="40" fillId="0" borderId="13" xfId="44" applyFont="1" applyBorder="1" applyAlignment="1">
      <alignment horizontal="left" vertical="center" wrapText="1"/>
    </xf>
    <xf numFmtId="0" fontId="34" fillId="0" borderId="0" xfId="44" applyFont="1" applyAlignment="1">
      <alignment vertical="center" wrapText="1"/>
    </xf>
    <xf numFmtId="0" fontId="50" fillId="0" borderId="0" xfId="46" applyFont="1" applyBorder="1" applyAlignment="1" applyProtection="1">
      <alignment horizontal="center"/>
    </xf>
    <xf numFmtId="0" fontId="34" fillId="0" borderId="0" xfId="45" applyFont="1"/>
    <xf numFmtId="0" fontId="51" fillId="11" borderId="15" xfId="44" applyFont="1" applyFill="1" applyBorder="1" applyAlignment="1">
      <alignment horizontal="left" vertical="center" wrapText="1"/>
    </xf>
    <xf numFmtId="0" fontId="51" fillId="11" borderId="16" xfId="44" applyFont="1" applyFill="1" applyBorder="1" applyAlignment="1">
      <alignment horizontal="left" vertical="center" wrapText="1"/>
    </xf>
    <xf numFmtId="0" fontId="32" fillId="0" borderId="0" xfId="44" applyFont="1" applyAlignment="1">
      <alignment vertical="top"/>
    </xf>
    <xf numFmtId="2" fontId="34" fillId="0" borderId="18" xfId="44" applyNumberFormat="1" applyFont="1" applyBorder="1" applyAlignment="1">
      <alignment vertical="top" wrapText="1"/>
    </xf>
    <xf numFmtId="0" fontId="32" fillId="0" borderId="0" xfId="44" applyFont="1" applyAlignment="1">
      <alignment horizontal="center" vertical="top" wrapText="1"/>
    </xf>
    <xf numFmtId="182" fontId="34" fillId="0" borderId="18" xfId="44" applyNumberFormat="1" applyFont="1" applyBorder="1" applyAlignment="1">
      <alignment vertical="top" wrapText="1"/>
    </xf>
    <xf numFmtId="0" fontId="51" fillId="11" borderId="17" xfId="44" applyFont="1" applyFill="1" applyBorder="1" applyAlignment="1">
      <alignment horizontal="left" vertical="center" wrapText="1"/>
    </xf>
    <xf numFmtId="0" fontId="34" fillId="0" borderId="18" xfId="45" applyFont="1" applyBorder="1" applyAlignment="1">
      <alignment vertical="top" wrapText="1"/>
    </xf>
    <xf numFmtId="2" fontId="54" fillId="12" borderId="18" xfId="44" applyNumberFormat="1" applyFont="1" applyFill="1" applyBorder="1" applyAlignment="1">
      <alignment vertical="top" wrapText="1"/>
    </xf>
    <xf numFmtId="0" fontId="54" fillId="12" borderId="18" xfId="45" applyFont="1" applyFill="1" applyBorder="1" applyAlignment="1">
      <alignment vertical="top" wrapText="1"/>
    </xf>
    <xf numFmtId="0" fontId="44" fillId="0" borderId="0" xfId="44" applyFont="1" applyAlignment="1">
      <alignment horizontal="left"/>
    </xf>
    <xf numFmtId="0" fontId="34" fillId="0" borderId="0" xfId="47" applyFont="1" applyAlignment="1">
      <alignment horizontal="left" vertical="top" wrapText="1"/>
    </xf>
    <xf numFmtId="0" fontId="34" fillId="0" borderId="0" xfId="47" applyFont="1" applyAlignment="1">
      <alignment horizontal="left" vertical="top"/>
    </xf>
    <xf numFmtId="0" fontId="33" fillId="0" borderId="0" xfId="48" applyFont="1">
      <alignment vertical="center"/>
    </xf>
    <xf numFmtId="0" fontId="34" fillId="0" borderId="0" xfId="49" applyFont="1" applyAlignment="1">
      <alignment vertical="top"/>
    </xf>
    <xf numFmtId="0" fontId="33" fillId="0" borderId="0" xfId="48" applyFont="1" applyAlignment="1">
      <alignment horizontal="center" vertical="center"/>
    </xf>
    <xf numFmtId="0" fontId="51" fillId="11" borderId="19" xfId="44" applyFont="1" applyFill="1" applyBorder="1" applyAlignment="1">
      <alignment horizontal="center" vertical="center" wrapText="1"/>
    </xf>
    <xf numFmtId="0" fontId="33" fillId="0" borderId="1" xfId="50" applyFont="1" applyBorder="1" applyAlignment="1">
      <alignment horizontal="center" vertical="center"/>
    </xf>
    <xf numFmtId="0" fontId="58" fillId="0" borderId="12" xfId="44" applyFont="1" applyBorder="1" applyAlignment="1">
      <alignment horizontal="left" vertical="center" wrapText="1"/>
    </xf>
    <xf numFmtId="0" fontId="59" fillId="0" borderId="1" xfId="50" applyFont="1" applyBorder="1" applyAlignment="1">
      <alignment horizontal="left" vertical="center"/>
    </xf>
    <xf numFmtId="0" fontId="28" fillId="5" borderId="5" xfId="0" applyNumberFormat="1" applyFont="1" applyFill="1" applyBorder="1" applyAlignment="1">
      <alignment horizontal="center" vertical="center" wrapText="1"/>
    </xf>
    <xf numFmtId="177" fontId="28" fillId="5" borderId="5" xfId="0" applyFont="1" applyFill="1" applyBorder="1" applyAlignment="1">
      <alignment horizontal="center" vertical="center" wrapText="1"/>
    </xf>
    <xf numFmtId="177" fontId="28" fillId="6" borderId="5" xfId="0" applyFont="1" applyFill="1" applyBorder="1" applyAlignment="1">
      <alignment horizontal="center" vertical="center" wrapText="1"/>
    </xf>
    <xf numFmtId="177" fontId="60" fillId="10" borderId="10" xfId="0" applyFont="1" applyFill="1" applyBorder="1" applyAlignment="1">
      <alignment horizontal="center" vertical="center"/>
    </xf>
    <xf numFmtId="177" fontId="29" fillId="0" borderId="5" xfId="0" applyFont="1" applyBorder="1" applyAlignment="1">
      <alignment horizontal="center" vertical="center" wrapText="1"/>
    </xf>
    <xf numFmtId="177" fontId="29" fillId="0" borderId="5" xfId="0" applyFont="1" applyBorder="1" applyAlignment="1">
      <alignment horizontal="left" vertical="center" wrapText="1"/>
    </xf>
    <xf numFmtId="177" fontId="29" fillId="0" borderId="5" xfId="0" applyFont="1" applyBorder="1" applyAlignment="1">
      <alignment horizontal="left" vertical="center"/>
    </xf>
    <xf numFmtId="177" fontId="29" fillId="0" borderId="5" xfId="0" applyFont="1" applyFill="1" applyBorder="1" applyAlignment="1">
      <alignment horizontal="left" vertical="center" wrapText="1"/>
    </xf>
    <xf numFmtId="177" fontId="29" fillId="0" borderId="5" xfId="42" applyFont="1" applyBorder="1" applyAlignment="1">
      <alignment horizontal="left" vertical="center" wrapText="1"/>
    </xf>
    <xf numFmtId="177" fontId="30" fillId="0" borderId="5" xfId="0" applyFont="1" applyBorder="1" applyAlignment="1">
      <alignment horizontal="center" vertical="center" wrapText="1"/>
    </xf>
    <xf numFmtId="177" fontId="30" fillId="0" borderId="5" xfId="0" applyFont="1" applyBorder="1" applyAlignment="1">
      <alignment horizontal="left" vertical="center" wrapText="1"/>
    </xf>
    <xf numFmtId="177" fontId="30" fillId="0" borderId="5" xfId="42" applyFont="1" applyBorder="1" applyAlignment="1">
      <alignment horizontal="left" vertical="center" wrapText="1"/>
    </xf>
    <xf numFmtId="177" fontId="29" fillId="0" borderId="1" xfId="0" applyFont="1" applyBorder="1" applyAlignment="1">
      <alignment horizontal="left" vertical="center" wrapText="1"/>
    </xf>
    <xf numFmtId="177" fontId="29" fillId="12" borderId="5" xfId="0" applyFont="1" applyFill="1" applyBorder="1" applyAlignment="1">
      <alignment horizontal="left" vertical="center" wrapText="1"/>
    </xf>
    <xf numFmtId="0" fontId="29" fillId="0" borderId="1" xfId="43" applyFont="1" applyFill="1" applyBorder="1" applyAlignment="1">
      <alignment horizontal="left" vertical="center" wrapText="1"/>
    </xf>
    <xf numFmtId="177" fontId="28" fillId="7" borderId="5" xfId="0" applyFont="1" applyFill="1" applyBorder="1" applyAlignment="1">
      <alignment horizontal="center" vertical="center" wrapText="1"/>
    </xf>
    <xf numFmtId="177" fontId="28" fillId="9" borderId="5" xfId="0" applyFont="1" applyFill="1" applyBorder="1" applyAlignment="1">
      <alignment horizontal="center" vertical="center" wrapText="1"/>
    </xf>
    <xf numFmtId="177" fontId="28" fillId="8" borderId="5" xfId="0" applyFont="1" applyFill="1" applyBorder="1" applyAlignment="1">
      <alignment horizontal="center" vertical="center" wrapText="1"/>
    </xf>
    <xf numFmtId="0" fontId="29" fillId="0" borderId="1" xfId="43" applyFont="1" applyBorder="1" applyAlignment="1">
      <alignment horizontal="left" vertical="center" wrapText="1"/>
    </xf>
    <xf numFmtId="177" fontId="29" fillId="0" borderId="1" xfId="0" applyFont="1" applyFill="1" applyBorder="1" applyAlignment="1">
      <alignment horizontal="left" vertical="center" wrapText="1"/>
    </xf>
    <xf numFmtId="177" fontId="62" fillId="0" borderId="5" xfId="0" applyFont="1" applyFill="1" applyBorder="1" applyAlignment="1">
      <alignment horizontal="left" vertical="center" wrapText="1"/>
    </xf>
    <xf numFmtId="177" fontId="62" fillId="0" borderId="5" xfId="0" applyFont="1" applyBorder="1" applyAlignment="1">
      <alignment horizontal="left" vertical="center" wrapText="1"/>
    </xf>
    <xf numFmtId="177" fontId="62" fillId="0" borderId="1" xfId="0" applyFont="1" applyBorder="1" applyAlignment="1">
      <alignment vertical="center" wrapText="1"/>
    </xf>
    <xf numFmtId="177" fontId="64" fillId="0" borderId="5" xfId="0" applyFont="1" applyBorder="1" applyAlignment="1">
      <alignment horizontal="left" vertical="center" wrapText="1"/>
    </xf>
    <xf numFmtId="177" fontId="64" fillId="0" borderId="5" xfId="0" applyFont="1" applyFill="1" applyBorder="1" applyAlignment="1">
      <alignment horizontal="left" vertical="center" wrapText="1"/>
    </xf>
    <xf numFmtId="49" fontId="38" fillId="0" borderId="0" xfId="44" applyNumberFormat="1" applyFont="1" applyAlignment="1">
      <alignment horizontal="left"/>
    </xf>
    <xf numFmtId="0" fontId="38" fillId="0" borderId="0" xfId="44" applyFont="1" applyAlignment="1">
      <alignment horizontal="left"/>
    </xf>
    <xf numFmtId="49" fontId="39" fillId="0" borderId="0" xfId="44" applyNumberFormat="1" applyFont="1" applyAlignment="1">
      <alignment horizontal="left"/>
    </xf>
    <xf numFmtId="0" fontId="39" fillId="0" borderId="0" xfId="44" applyFont="1" applyAlignment="1">
      <alignment horizontal="left"/>
    </xf>
    <xf numFmtId="0" fontId="34" fillId="0" borderId="12" xfId="44" applyFont="1" applyBorder="1" applyAlignment="1">
      <alignment vertical="top" wrapText="1"/>
    </xf>
    <xf numFmtId="0" fontId="34" fillId="0" borderId="14" xfId="44" applyFont="1" applyBorder="1" applyAlignment="1">
      <alignment vertical="top" wrapText="1"/>
    </xf>
    <xf numFmtId="0" fontId="34" fillId="0" borderId="13" xfId="44" applyFont="1" applyBorder="1" applyAlignment="1">
      <alignment vertical="top" wrapText="1"/>
    </xf>
    <xf numFmtId="0" fontId="34" fillId="0" borderId="12" xfId="45" applyFont="1" applyBorder="1" applyAlignment="1">
      <alignment vertical="top" wrapText="1"/>
    </xf>
    <xf numFmtId="0" fontId="34" fillId="0" borderId="13" xfId="45" applyFont="1" applyBorder="1" applyAlignment="1">
      <alignment vertical="top" wrapText="1"/>
    </xf>
    <xf numFmtId="0" fontId="42" fillId="11" borderId="11" xfId="44" applyFont="1" applyFill="1" applyBorder="1" applyAlignment="1">
      <alignment horizontal="left" vertical="center"/>
    </xf>
    <xf numFmtId="0" fontId="32" fillId="0" borderId="12" xfId="44" applyFont="1" applyBorder="1" applyAlignment="1">
      <alignment horizontal="left" vertical="center"/>
    </xf>
    <xf numFmtId="0" fontId="32" fillId="0" borderId="13" xfId="44" applyFont="1" applyBorder="1" applyAlignment="1">
      <alignment horizontal="left" vertical="center"/>
    </xf>
    <xf numFmtId="0" fontId="44" fillId="0" borderId="0" xfId="44" applyFont="1" applyAlignment="1">
      <alignment horizontal="left"/>
    </xf>
    <xf numFmtId="0" fontId="51" fillId="11" borderId="16" xfId="44" applyFont="1" applyFill="1" applyBorder="1" applyAlignment="1">
      <alignment horizontal="left" vertical="center" wrapText="1"/>
    </xf>
    <xf numFmtId="0" fontId="51" fillId="11" borderId="17" xfId="44" applyFont="1" applyFill="1" applyBorder="1" applyAlignment="1">
      <alignment horizontal="left" vertical="center" wrapText="1"/>
    </xf>
    <xf numFmtId="0" fontId="34" fillId="0" borderId="18" xfId="44" applyFont="1" applyBorder="1" applyAlignment="1">
      <alignment vertical="top" wrapText="1"/>
    </xf>
    <xf numFmtId="0" fontId="34" fillId="0" borderId="18" xfId="45" applyFont="1" applyBorder="1" applyAlignment="1">
      <alignment vertical="top" wrapText="1"/>
    </xf>
    <xf numFmtId="182" fontId="34" fillId="0" borderId="18" xfId="44" applyNumberFormat="1" applyFont="1" applyBorder="1" applyAlignment="1">
      <alignment vertical="top" wrapText="1"/>
    </xf>
    <xf numFmtId="182" fontId="54" fillId="12" borderId="18" xfId="44" applyNumberFormat="1" applyFont="1" applyFill="1" applyBorder="1" applyAlignment="1">
      <alignment vertical="top" wrapText="1"/>
    </xf>
    <xf numFmtId="0" fontId="54" fillId="12" borderId="18" xfId="44" applyFont="1" applyFill="1" applyBorder="1" applyAlignment="1">
      <alignment vertical="top" wrapText="1"/>
    </xf>
    <xf numFmtId="0" fontId="54" fillId="12" borderId="12" xfId="44" applyFont="1" applyFill="1" applyBorder="1" applyAlignment="1">
      <alignment vertical="top" wrapText="1"/>
    </xf>
    <xf numFmtId="0" fontId="54" fillId="12" borderId="14" xfId="44" applyFont="1" applyFill="1" applyBorder="1" applyAlignment="1">
      <alignment vertical="top" wrapText="1"/>
    </xf>
    <xf numFmtId="0" fontId="54" fillId="12" borderId="13" xfId="44" applyFont="1" applyFill="1" applyBorder="1" applyAlignment="1">
      <alignment vertical="top" wrapText="1"/>
    </xf>
    <xf numFmtId="0" fontId="51" fillId="11" borderId="20" xfId="44" applyFont="1" applyFill="1" applyBorder="1" applyAlignment="1">
      <alignment horizontal="center" vertical="center" wrapText="1"/>
    </xf>
    <xf numFmtId="0" fontId="51" fillId="11" borderId="11" xfId="44" applyFont="1" applyFill="1" applyBorder="1" applyAlignment="1">
      <alignment horizontal="center" vertical="center" wrapText="1"/>
    </xf>
    <xf numFmtId="0" fontId="51" fillId="11" borderId="21" xfId="44" applyFont="1" applyFill="1" applyBorder="1" applyAlignment="1">
      <alignment horizontal="center" vertical="center" wrapText="1"/>
    </xf>
    <xf numFmtId="0" fontId="33" fillId="0" borderId="6" xfId="50" applyFont="1" applyBorder="1" applyAlignment="1">
      <alignment horizontal="left" vertical="center" wrapText="1"/>
    </xf>
    <xf numFmtId="0" fontId="33" fillId="0" borderId="7" xfId="50" applyFont="1" applyBorder="1" applyAlignment="1">
      <alignment horizontal="left" vertical="center" wrapText="1"/>
    </xf>
    <xf numFmtId="0" fontId="33" fillId="0" borderId="8" xfId="50" applyFont="1" applyBorder="1" applyAlignment="1">
      <alignment horizontal="left" vertical="center" wrapText="1"/>
    </xf>
    <xf numFmtId="0" fontId="42" fillId="13" borderId="0" xfId="44" applyFont="1" applyFill="1" applyAlignment="1">
      <alignment horizontal="left" vertical="center"/>
    </xf>
    <xf numFmtId="0" fontId="34" fillId="0" borderId="6" xfId="49" applyFont="1" applyBorder="1" applyAlignment="1">
      <alignment horizontal="left" vertical="top" wrapText="1"/>
    </xf>
    <xf numFmtId="0" fontId="34" fillId="0" borderId="7" xfId="49" applyFont="1" applyBorder="1" applyAlignment="1">
      <alignment horizontal="left" vertical="top" wrapText="1"/>
    </xf>
    <xf numFmtId="0" fontId="34" fillId="0" borderId="8" xfId="49" applyFont="1" applyBorder="1" applyAlignment="1">
      <alignment horizontal="left" vertical="top" wrapText="1"/>
    </xf>
    <xf numFmtId="177" fontId="60" fillId="10" borderId="9" xfId="0" applyFont="1" applyFill="1" applyBorder="1" applyAlignment="1">
      <alignment horizontal="center" vertical="center"/>
    </xf>
    <xf numFmtId="177" fontId="28" fillId="6" borderId="7" xfId="0" applyFont="1" applyFill="1" applyBorder="1" applyAlignment="1">
      <alignment horizontal="center" vertical="center" wrapText="1"/>
    </xf>
    <xf numFmtId="177" fontId="28" fillId="7" borderId="5" xfId="0" applyFont="1" applyFill="1" applyBorder="1" applyAlignment="1">
      <alignment horizontal="center" vertical="center" wrapText="1"/>
    </xf>
    <xf numFmtId="177" fontId="28" fillId="9" borderId="5" xfId="0" applyFont="1" applyFill="1" applyBorder="1" applyAlignment="1">
      <alignment horizontal="center" vertical="center" wrapText="1"/>
    </xf>
    <xf numFmtId="177" fontId="28" fillId="8" borderId="5" xfId="0" applyFont="1" applyFill="1" applyBorder="1" applyAlignment="1">
      <alignment horizontal="center" vertical="center" wrapText="1"/>
    </xf>
    <xf numFmtId="177" fontId="24" fillId="0" borderId="5" xfId="42" applyFont="1" applyBorder="1" applyAlignment="1">
      <alignment horizontal="left" vertical="center" wrapText="1"/>
    </xf>
  </cellXfs>
  <cellStyles count="51">
    <cellStyle name="EWPHeader" xfId="1" xr:uid="{00000000-0005-0000-0000-000000000000}"/>
    <cellStyle name="EWPHidden" xfId="2" xr:uid="{00000000-0005-0000-0000-000001000000}"/>
    <cellStyle name="EWPLabel" xfId="3" xr:uid="{00000000-0005-0000-0000-000002000000}"/>
    <cellStyle name="EWPLinkCurr" xfId="4" xr:uid="{00000000-0005-0000-0000-000003000000}"/>
    <cellStyle name="EWPLinkCurrT" xfId="5" xr:uid="{00000000-0005-0000-0000-000004000000}"/>
    <cellStyle name="EWPLinkPrct" xfId="6" xr:uid="{00000000-0005-0000-0000-000005000000}"/>
    <cellStyle name="EWPLinkText" xfId="7" xr:uid="{00000000-0005-0000-0000-000006000000}"/>
    <cellStyle name="EWPUserCurr" xfId="8" xr:uid="{00000000-0005-0000-0000-000007000000}"/>
    <cellStyle name="EWPUserDate" xfId="9" xr:uid="{00000000-0005-0000-0000-000008000000}"/>
    <cellStyle name="EWPUserDate2" xfId="10" xr:uid="{00000000-0005-0000-0000-000009000000}"/>
    <cellStyle name="EWPUserText" xfId="11" xr:uid="{00000000-0005-0000-0000-00000A000000}"/>
    <cellStyle name="Normal 2" xfId="12" xr:uid="{00000000-0005-0000-0000-00000B000000}"/>
    <cellStyle name="Normal 2 2" xfId="44" xr:uid="{00000000-0005-0000-0000-00000C000000}"/>
    <cellStyle name="Normal_SAMPLING" xfId="47" xr:uid="{00000000-0005-0000-0000-00000D000000}"/>
    <cellStyle name="Normal_SHEET" xfId="45" xr:uid="{00000000-0005-0000-0000-00000E000000}"/>
    <cellStyle name="RMCBlank" xfId="13" xr:uid="{00000000-0005-0000-0000-00000F000000}"/>
    <cellStyle name="RMCHeader" xfId="14" xr:uid="{00000000-0005-0000-0000-000010000000}"/>
    <cellStyle name="RMCHeader2" xfId="15" xr:uid="{00000000-0005-0000-0000-000011000000}"/>
    <cellStyle name="RMCHidden" xfId="16" xr:uid="{00000000-0005-0000-0000-000012000000}"/>
    <cellStyle name="RMCInptCurr" xfId="17" xr:uid="{00000000-0005-0000-0000-000013000000}"/>
    <cellStyle name="RMCInptNum" xfId="18" xr:uid="{00000000-0005-0000-0000-000014000000}"/>
    <cellStyle name="RMCInptNum2" xfId="19" xr:uid="{00000000-0005-0000-0000-000015000000}"/>
    <cellStyle name="RMCInptPrct2" xfId="20" xr:uid="{00000000-0005-0000-0000-000016000000}"/>
    <cellStyle name="RMCInptText" xfId="21" xr:uid="{00000000-0005-0000-0000-000017000000}"/>
    <cellStyle name="RMCInptTextL" xfId="22" xr:uid="{00000000-0005-0000-0000-000018000000}"/>
    <cellStyle name="RMCLabel" xfId="23" xr:uid="{00000000-0005-0000-0000-000019000000}"/>
    <cellStyle name="RMCLabel2" xfId="24" xr:uid="{00000000-0005-0000-0000-00001A000000}"/>
    <cellStyle name="RMCLabelH" xfId="25" xr:uid="{00000000-0005-0000-0000-00001B000000}"/>
    <cellStyle name="RMCLinkCurr" xfId="26" xr:uid="{00000000-0005-0000-0000-00001C000000}"/>
    <cellStyle name="RMCLinkCurrH" xfId="27" xr:uid="{00000000-0005-0000-0000-00001D000000}"/>
    <cellStyle name="RMCLinkNum" xfId="28" xr:uid="{00000000-0005-0000-0000-00001E000000}"/>
    <cellStyle name="RMCLinkNum2" xfId="29" xr:uid="{00000000-0005-0000-0000-00001F000000}"/>
    <cellStyle name="RMCLinkNum2H" xfId="30" xr:uid="{00000000-0005-0000-0000-000020000000}"/>
    <cellStyle name="RMCLinkNum3" xfId="31" xr:uid="{00000000-0005-0000-0000-000021000000}"/>
    <cellStyle name="RMCLinkNum4" xfId="32" xr:uid="{00000000-0005-0000-0000-000022000000}"/>
    <cellStyle name="RMCLinkNumH" xfId="33" xr:uid="{00000000-0005-0000-0000-000023000000}"/>
    <cellStyle name="RMCLinkPrct2" xfId="34" xr:uid="{00000000-0005-0000-0000-000024000000}"/>
    <cellStyle name="RMCLinkPrct2H" xfId="35" xr:uid="{00000000-0005-0000-0000-000025000000}"/>
    <cellStyle name="RMCLinkText" xfId="36" xr:uid="{00000000-0005-0000-0000-000026000000}"/>
    <cellStyle name="RMCLinkTextH" xfId="37" xr:uid="{00000000-0005-0000-0000-000027000000}"/>
    <cellStyle name="RMCLinkTextL" xfId="38" xr:uid="{00000000-0005-0000-0000-000028000000}"/>
    <cellStyle name="一般" xfId="0" builtinId="0"/>
    <cellStyle name="一般 2" xfId="39" xr:uid="{00000000-0005-0000-0000-00002A000000}"/>
    <cellStyle name="一般 2 2" xfId="48" xr:uid="{00000000-0005-0000-0000-00002B000000}"/>
    <cellStyle name="一般 2 3" xfId="50" xr:uid="{00000000-0005-0000-0000-00002C000000}"/>
    <cellStyle name="一般 3" xfId="41" xr:uid="{00000000-0005-0000-0000-00002D000000}"/>
    <cellStyle name="一般 3 2" xfId="42" xr:uid="{00000000-0005-0000-0000-00002E000000}"/>
    <cellStyle name="一般 4" xfId="43" xr:uid="{00000000-0005-0000-0000-00002F000000}"/>
    <cellStyle name="一般_SHEET" xfId="49" xr:uid="{00000000-0005-0000-0000-000030000000}"/>
    <cellStyle name="常规 2" xfId="40" xr:uid="{00000000-0005-0000-0000-000031000000}"/>
    <cellStyle name="超連結 2" xfId="46" xr:uid="{00000000-0005-0000-0000-000032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mail.spil.com.tw/MSOffice/Excel/XL97/FA/FA3006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s7\pp\Users\nisengupta\Desktop\eBay\Reference%20Documentation\Copy%20of%20ACTT%20Rule%20Template%20-%208%200%20-%20SAP%20-%20Relationship.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mail.spil.com.tw/WINDOWS/TEMP/~ME0F0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工作表3"/>
      <sheetName val="下拉選單(含窗口名單)"/>
      <sheetName val="TS16949"/>
      <sheetName val="衝突處理方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Errors"/>
      <sheetName val="Applications"/>
      <sheetName val="Rules"/>
      <sheetName val="Detail"/>
      <sheetName val="Objects"/>
      <sheetName val="Variables"/>
      <sheetName val="VariableTables"/>
      <sheetName val="SOD Activities"/>
      <sheetName val="SOD Variables"/>
      <sheetName val="ExclusionList"/>
      <sheetName val="UserMapping"/>
      <sheetName val="Processing Options"/>
      <sheetName val="Impact"/>
      <sheetName val="Cycle"/>
      <sheetName val="Application Module"/>
      <sheetName val="Application Version Groups"/>
      <sheetName val="Translation"/>
      <sheetName val="ListObjects"/>
      <sheetName val="Servers"/>
      <sheetName val="Sheet1"/>
      <sheetName val="Copy of ACTT Rule Template - 8 "/>
      <sheetName val="單位名稱"/>
      <sheetName val="工作表3"/>
      <sheetName val="衝突處理方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row r="2">
          <cell r="A2">
            <v>51427</v>
          </cell>
          <cell r="B2" t="str">
            <v xml:space="preserve"> BASE,HL,GN+,P54C/166,OPPLX,U</v>
          </cell>
          <cell r="C2" t="str">
            <v/>
          </cell>
          <cell r="D2" t="str">
            <v>970311</v>
          </cell>
          <cell r="E2">
            <v>476.95</v>
          </cell>
          <cell r="F2">
            <v>95.26</v>
          </cell>
          <cell r="G2">
            <v>574.38966149999999</v>
          </cell>
        </row>
        <row r="3">
          <cell r="A3">
            <v>51442</v>
          </cell>
          <cell r="B3" t="str">
            <v/>
          </cell>
          <cell r="C3" t="str">
            <v/>
          </cell>
          <cell r="D3" t="str">
            <v/>
          </cell>
          <cell r="E3" t="str">
            <v/>
          </cell>
          <cell r="F3" t="str">
            <v/>
          </cell>
          <cell r="G3" t="e">
            <v>#VALUE!</v>
          </cell>
        </row>
        <row r="4">
          <cell r="A4">
            <v>66187</v>
          </cell>
          <cell r="B4" t="str">
            <v xml:space="preserve"> MOD,HD,3GB,I,F3,NC,#1,WD,HTR</v>
          </cell>
          <cell r="C4" t="str">
            <v/>
          </cell>
          <cell r="D4" t="str">
            <v>970407</v>
          </cell>
          <cell r="E4">
            <v>205.852</v>
          </cell>
          <cell r="F4">
            <v>0</v>
          </cell>
          <cell r="G4">
            <v>206.79274364</v>
          </cell>
        </row>
        <row r="5">
          <cell r="A5">
            <v>67718</v>
          </cell>
          <cell r="B5" t="str">
            <v xml:space="preserve"> MOD,HD,2G,I,F3,NC,1,MXTR,HTR</v>
          </cell>
          <cell r="C5" t="str">
            <v xml:space="preserve"> MO</v>
          </cell>
          <cell r="D5" t="str">
            <v>970422</v>
          </cell>
          <cell r="E5">
            <v>166.852</v>
          </cell>
          <cell r="F5">
            <v>0</v>
          </cell>
          <cell r="G5">
            <v>167.61451363999998</v>
          </cell>
        </row>
        <row r="6">
          <cell r="A6">
            <v>23520</v>
          </cell>
          <cell r="B6" t="str">
            <v xml:space="preserve"> BASE,HL,GN,P54C/133,OPPLX,US</v>
          </cell>
          <cell r="C6" t="str">
            <v>BAS</v>
          </cell>
          <cell r="D6" t="str">
            <v>970312</v>
          </cell>
          <cell r="E6">
            <v>752.81700000000001</v>
          </cell>
          <cell r="F6">
            <v>92.35</v>
          </cell>
          <cell r="G6">
            <v>848.60737369000003</v>
          </cell>
        </row>
        <row r="7">
          <cell r="A7">
            <v>23542</v>
          </cell>
          <cell r="B7" t="str">
            <v xml:space="preserve"> BASE,HL,GN,P54C/166,OPPLX,US</v>
          </cell>
          <cell r="C7" t="str">
            <v>BAS</v>
          </cell>
          <cell r="D7" t="str">
            <v>970312</v>
          </cell>
          <cell r="E7">
            <v>411.53</v>
          </cell>
          <cell r="F7">
            <v>95.26</v>
          </cell>
          <cell r="G7">
            <v>508.67069209999994</v>
          </cell>
        </row>
        <row r="8">
          <cell r="A8">
            <v>23718</v>
          </cell>
          <cell r="B8" t="str">
            <v xml:space="preserve"> BASE,HL,GN,P54C/200,OPPLX,US</v>
          </cell>
          <cell r="C8" t="str">
            <v>BAS</v>
          </cell>
          <cell r="D8" t="str">
            <v>970312</v>
          </cell>
          <cell r="E8">
            <v>456.53</v>
          </cell>
          <cell r="F8">
            <v>98.78</v>
          </cell>
          <cell r="G8">
            <v>557.39634209999997</v>
          </cell>
        </row>
        <row r="9">
          <cell r="A9">
            <v>23719</v>
          </cell>
          <cell r="B9" t="str">
            <v xml:space="preserve"> BASE,HL,GN,P55C/166,OPPLX,US</v>
          </cell>
          <cell r="C9" t="str">
            <v>BAS</v>
          </cell>
          <cell r="D9" t="str">
            <v>970312</v>
          </cell>
          <cell r="E9">
            <v>471.298</v>
          </cell>
          <cell r="F9">
            <v>95.25</v>
          </cell>
          <cell r="G9">
            <v>568.70183185999997</v>
          </cell>
        </row>
        <row r="10">
          <cell r="A10">
            <v>23720</v>
          </cell>
          <cell r="B10" t="str">
            <v xml:space="preserve"> BASE,HL,GN,P55C/200,OPPLX,US</v>
          </cell>
          <cell r="C10" t="str">
            <v>BAS</v>
          </cell>
          <cell r="D10" t="str">
            <v>970312</v>
          </cell>
          <cell r="E10">
            <v>682.14700000000005</v>
          </cell>
          <cell r="F10">
            <v>101.19</v>
          </cell>
          <cell r="G10">
            <v>786.45441178999999</v>
          </cell>
        </row>
        <row r="11">
          <cell r="A11">
            <v>23751</v>
          </cell>
          <cell r="B11" t="str">
            <v xml:space="preserve"> BASE,HL,GN,P55C/233,OPPLX,US</v>
          </cell>
          <cell r="C11" t="str">
            <v>BAS</v>
          </cell>
          <cell r="D11" t="str">
            <v>970312</v>
          </cell>
          <cell r="E11">
            <v>771.28700000000003</v>
          </cell>
          <cell r="F11">
            <v>103.16</v>
          </cell>
          <cell r="G11">
            <v>877.97178158999998</v>
          </cell>
        </row>
        <row r="12">
          <cell r="A12">
            <v>23793</v>
          </cell>
          <cell r="B12" t="str">
            <v xml:space="preserve"> BASE,HM,GN,P54C/133,OPPLX,US</v>
          </cell>
          <cell r="C12" t="str">
            <v>BAS</v>
          </cell>
          <cell r="D12" t="str">
            <v>970312</v>
          </cell>
          <cell r="E12">
            <v>358.35500000000002</v>
          </cell>
          <cell r="F12">
            <v>98.86</v>
          </cell>
          <cell r="G12">
            <v>458.85268235000001</v>
          </cell>
        </row>
        <row r="13">
          <cell r="A13">
            <v>23794</v>
          </cell>
          <cell r="B13" t="str">
            <v xml:space="preserve"> BASE,HM,GN,P54C/166,OPPLX,US</v>
          </cell>
          <cell r="C13" t="str">
            <v>BAS</v>
          </cell>
          <cell r="D13" t="str">
            <v>970312</v>
          </cell>
          <cell r="E13">
            <v>428.59800000000001</v>
          </cell>
          <cell r="F13">
            <v>96.76</v>
          </cell>
          <cell r="G13">
            <v>527.31669285999999</v>
          </cell>
        </row>
        <row r="14">
          <cell r="A14">
            <v>23801</v>
          </cell>
          <cell r="B14" t="str">
            <v xml:space="preserve"> BASE,HM,GN,P54C/200,OPPLX,US</v>
          </cell>
          <cell r="C14" t="str">
            <v>BAS</v>
          </cell>
          <cell r="D14" t="str">
            <v>970312</v>
          </cell>
          <cell r="E14">
            <v>473.59800000000001</v>
          </cell>
          <cell r="F14">
            <v>103.37</v>
          </cell>
          <cell r="G14">
            <v>579.13234285999999</v>
          </cell>
        </row>
        <row r="15">
          <cell r="A15">
            <v>23810</v>
          </cell>
          <cell r="B15" t="str">
            <v xml:space="preserve"> BASE,HM,GN,P55C/166,OPPLX,US</v>
          </cell>
          <cell r="C15" t="str">
            <v>BAS</v>
          </cell>
          <cell r="D15" t="str">
            <v>970312</v>
          </cell>
          <cell r="E15">
            <v>488.36599999999999</v>
          </cell>
          <cell r="F15">
            <v>99.17</v>
          </cell>
          <cell r="G15">
            <v>589.76783261999992</v>
          </cell>
        </row>
        <row r="16">
          <cell r="A16">
            <v>23870</v>
          </cell>
          <cell r="B16" t="str">
            <v xml:space="preserve"> BASE,HM,GN,P55C/200,OPPLX,US</v>
          </cell>
          <cell r="C16" t="str">
            <v>BAS</v>
          </cell>
          <cell r="D16" t="str">
            <v>970312</v>
          </cell>
          <cell r="E16">
            <v>699.21500000000003</v>
          </cell>
          <cell r="F16">
            <v>103.78</v>
          </cell>
          <cell r="G16">
            <v>806.19041255000002</v>
          </cell>
        </row>
        <row r="17">
          <cell r="A17">
            <v>23871</v>
          </cell>
          <cell r="B17" t="str">
            <v xml:space="preserve"> BASE,HM,GN,P55C/233,OPPLX,US</v>
          </cell>
          <cell r="C17" t="str">
            <v>BAS</v>
          </cell>
          <cell r="D17" t="str">
            <v>970312</v>
          </cell>
          <cell r="E17">
            <v>788.35500000000002</v>
          </cell>
          <cell r="F17">
            <v>105.76</v>
          </cell>
          <cell r="G17">
            <v>897.71778234999999</v>
          </cell>
        </row>
        <row r="18">
          <cell r="A18">
            <v>23874</v>
          </cell>
          <cell r="B18" t="str">
            <v xml:space="preserve"> BASE,HMT,GN,P54C/133,OPPLX,U</v>
          </cell>
          <cell r="C18" t="str">
            <v>BAS</v>
          </cell>
          <cell r="D18" t="str">
            <v>970312</v>
          </cell>
          <cell r="E18">
            <v>365.3</v>
          </cell>
          <cell r="F18">
            <v>100.25</v>
          </cell>
          <cell r="G18">
            <v>467.21942100000001</v>
          </cell>
        </row>
        <row r="19">
          <cell r="A19">
            <v>29601</v>
          </cell>
          <cell r="B19" t="str">
            <v xml:space="preserve"> BASE,HMT,GN,P54C/166,OPPLX,U</v>
          </cell>
          <cell r="C19" t="str">
            <v>BAS</v>
          </cell>
          <cell r="D19" t="str">
            <v>970312</v>
          </cell>
          <cell r="E19">
            <v>435.54300000000001</v>
          </cell>
          <cell r="F19">
            <v>103.24</v>
          </cell>
          <cell r="G19">
            <v>540.77343151000002</v>
          </cell>
        </row>
        <row r="20">
          <cell r="A20">
            <v>41212</v>
          </cell>
          <cell r="B20" t="str">
            <v xml:space="preserve"> BASE,HMT,GN,P54C/200,OPPLX,U</v>
          </cell>
          <cell r="C20" t="str">
            <v>BAS</v>
          </cell>
          <cell r="D20" t="str">
            <v>970312</v>
          </cell>
          <cell r="E20">
            <v>480.54300000000001</v>
          </cell>
          <cell r="F20">
            <v>106.79</v>
          </cell>
          <cell r="G20">
            <v>589.52908150999997</v>
          </cell>
        </row>
        <row r="21">
          <cell r="A21">
            <v>41213</v>
          </cell>
          <cell r="B21" t="str">
            <v xml:space="preserve"> BASE,HMT,GN,P55C/166,OPPLX,U</v>
          </cell>
          <cell r="C21" t="str">
            <v>BAS</v>
          </cell>
          <cell r="D21" t="str">
            <v>970312</v>
          </cell>
          <cell r="E21">
            <v>495.31099999999998</v>
          </cell>
          <cell r="F21">
            <v>108.21</v>
          </cell>
          <cell r="G21">
            <v>605.78457127000001</v>
          </cell>
        </row>
        <row r="22">
          <cell r="A22">
            <v>41218</v>
          </cell>
          <cell r="B22" t="str">
            <v xml:space="preserve"> BASE,HMT,GN,P55C/200,OPPLX,U</v>
          </cell>
          <cell r="C22" t="str">
            <v>BAS</v>
          </cell>
          <cell r="D22" t="str">
            <v>970312</v>
          </cell>
          <cell r="E22">
            <v>706.16</v>
          </cell>
          <cell r="F22">
            <v>112.82</v>
          </cell>
          <cell r="G22">
            <v>822.2071512</v>
          </cell>
        </row>
        <row r="23">
          <cell r="A23">
            <v>41219</v>
          </cell>
          <cell r="B23" t="str">
            <v xml:space="preserve"> BASE,HMT,GN,P55C/233,OPPLX,U</v>
          </cell>
          <cell r="C23" t="str">
            <v>BAS</v>
          </cell>
          <cell r="D23" t="str">
            <v>970312</v>
          </cell>
          <cell r="E23">
            <v>795.3</v>
          </cell>
          <cell r="F23">
            <v>114.79</v>
          </cell>
          <cell r="G23">
            <v>913.72452099999987</v>
          </cell>
        </row>
        <row r="24">
          <cell r="A24">
            <v>51428</v>
          </cell>
          <cell r="B24" t="str">
            <v xml:space="preserve"> BASE,HL,GN+,P54C/200,OPPLX,U</v>
          </cell>
          <cell r="C24" t="str">
            <v>BAS</v>
          </cell>
          <cell r="D24" t="str">
            <v>970311</v>
          </cell>
          <cell r="E24">
            <v>521.95000000000005</v>
          </cell>
          <cell r="F24">
            <v>101.19</v>
          </cell>
          <cell r="G24">
            <v>625.52531150000004</v>
          </cell>
        </row>
        <row r="25">
          <cell r="A25">
            <v>51429</v>
          </cell>
          <cell r="B25" t="str">
            <v xml:space="preserve"> BASE,HL,GN+,P55C/166,OPPLX,U</v>
          </cell>
          <cell r="C25" t="str">
            <v>BAS</v>
          </cell>
          <cell r="D25" t="str">
            <v>970311</v>
          </cell>
          <cell r="E25">
            <v>536.71799999999996</v>
          </cell>
          <cell r="F25">
            <v>95.25</v>
          </cell>
          <cell r="G25">
            <v>634.42080125999996</v>
          </cell>
        </row>
        <row r="26">
          <cell r="A26">
            <v>51430</v>
          </cell>
          <cell r="B26" t="str">
            <v xml:space="preserve"> BASE,HL,GN+,P55C/200,OPPLX,U</v>
          </cell>
          <cell r="C26" t="str">
            <v>BAS</v>
          </cell>
          <cell r="D26" t="str">
            <v>970311</v>
          </cell>
          <cell r="E26">
            <v>747.56700000000001</v>
          </cell>
          <cell r="F26">
            <v>101.19</v>
          </cell>
          <cell r="G26">
            <v>852.17338118999987</v>
          </cell>
        </row>
        <row r="27">
          <cell r="A27">
            <v>51435</v>
          </cell>
          <cell r="B27" t="str">
            <v xml:space="preserve"> BASE,HL,GN+,P55C/233,OPPLX,U</v>
          </cell>
          <cell r="C27" t="str">
            <v>BAS</v>
          </cell>
          <cell r="D27" t="str">
            <v>970311</v>
          </cell>
          <cell r="E27">
            <v>836.70699999999999</v>
          </cell>
          <cell r="F27">
            <v>103.16</v>
          </cell>
          <cell r="G27">
            <v>943.69075098999997</v>
          </cell>
        </row>
        <row r="28">
          <cell r="A28">
            <v>51439</v>
          </cell>
          <cell r="B28" t="str">
            <v xml:space="preserve"> BASE,HM,GN+,P54C/133,OPPLX,U</v>
          </cell>
          <cell r="C28" t="str">
            <v>BAS</v>
          </cell>
          <cell r="D28" t="str">
            <v>970311</v>
          </cell>
          <cell r="E28">
            <v>423.77499999999998</v>
          </cell>
          <cell r="F28">
            <v>98.86</v>
          </cell>
          <cell r="G28">
            <v>524.57165175</v>
          </cell>
        </row>
        <row r="29">
          <cell r="A29">
            <v>51443</v>
          </cell>
          <cell r="B29" t="str">
            <v xml:space="preserve"> BASE,HM,GN+,P54C/166,OPPLX,U</v>
          </cell>
          <cell r="C29" t="str">
            <v>BAS</v>
          </cell>
          <cell r="D29" t="str">
            <v>970311</v>
          </cell>
          <cell r="E29">
            <v>497.59800000000001</v>
          </cell>
          <cell r="F29">
            <v>96.76</v>
          </cell>
          <cell r="G29">
            <v>596.63202286000001</v>
          </cell>
        </row>
        <row r="30">
          <cell r="A30">
            <v>51444</v>
          </cell>
          <cell r="B30" t="str">
            <v xml:space="preserve"> BASE,HM,GN+,P54C/200,OPPLX,U</v>
          </cell>
          <cell r="C30" t="str">
            <v>BAS</v>
          </cell>
          <cell r="D30" t="str">
            <v>970311</v>
          </cell>
          <cell r="E30">
            <v>542.59799999999996</v>
          </cell>
          <cell r="F30">
            <v>103.78</v>
          </cell>
          <cell r="G30">
            <v>648.85767285999987</v>
          </cell>
        </row>
        <row r="31">
          <cell r="A31">
            <v>51446</v>
          </cell>
          <cell r="B31" t="str">
            <v xml:space="preserve"> BASE,HM,GN+,P55C/166,OPPLX,U</v>
          </cell>
          <cell r="C31" t="str">
            <v>BAS</v>
          </cell>
          <cell r="D31" t="str">
            <v>970311</v>
          </cell>
          <cell r="E31">
            <v>557.36599999999999</v>
          </cell>
          <cell r="F31">
            <v>99.17</v>
          </cell>
          <cell r="G31">
            <v>659.08316261999994</v>
          </cell>
        </row>
        <row r="32">
          <cell r="A32">
            <v>51449</v>
          </cell>
          <cell r="B32" t="str">
            <v xml:space="preserve"> BASE,HM,GN+,P55C/200,OPPLX,U</v>
          </cell>
          <cell r="C32" t="str">
            <v>BAS</v>
          </cell>
          <cell r="D32" t="str">
            <v>970312</v>
          </cell>
          <cell r="E32">
            <v>768.21500000000003</v>
          </cell>
          <cell r="F32">
            <v>103.78</v>
          </cell>
          <cell r="G32">
            <v>875.50574254999992</v>
          </cell>
        </row>
        <row r="33">
          <cell r="A33">
            <v>51450</v>
          </cell>
          <cell r="B33" t="str">
            <v xml:space="preserve"> BASE,HM,GN+,P55C/233,OPPLX,U</v>
          </cell>
          <cell r="C33" t="str">
            <v>BAS</v>
          </cell>
          <cell r="D33" t="str">
            <v>970312</v>
          </cell>
          <cell r="E33">
            <v>857.35500000000002</v>
          </cell>
          <cell r="F33">
            <v>105.76</v>
          </cell>
          <cell r="G33">
            <v>967.03311235000001</v>
          </cell>
        </row>
        <row r="34">
          <cell r="A34">
            <v>51451</v>
          </cell>
          <cell r="B34" t="str">
            <v xml:space="preserve"> BASE,HMT,GN+,P54C/133,OPPLX,</v>
          </cell>
          <cell r="C34" t="str">
            <v>BAS</v>
          </cell>
          <cell r="D34" t="str">
            <v>970312</v>
          </cell>
          <cell r="E34">
            <v>458.64499999999998</v>
          </cell>
          <cell r="F34">
            <v>100.25</v>
          </cell>
          <cell r="G34">
            <v>560.99100765000003</v>
          </cell>
        </row>
        <row r="35">
          <cell r="A35">
            <v>51454</v>
          </cell>
          <cell r="B35" t="str">
            <v xml:space="preserve"> BASE,HMT,GN+,P54C/166,OPPLX,</v>
          </cell>
          <cell r="C35" t="str">
            <v>BAS</v>
          </cell>
          <cell r="D35" t="str">
            <v>970312</v>
          </cell>
          <cell r="E35">
            <v>528.88800000000003</v>
          </cell>
          <cell r="F35">
            <v>103.24</v>
          </cell>
          <cell r="G35">
            <v>634.54501816000004</v>
          </cell>
        </row>
        <row r="36">
          <cell r="A36">
            <v>51455</v>
          </cell>
          <cell r="B36" t="str">
            <v xml:space="preserve"> BASE,HMT,GN+,P54C/200,OPPLX,</v>
          </cell>
          <cell r="C36" t="str">
            <v>BAS</v>
          </cell>
          <cell r="D36" t="str">
            <v>970312</v>
          </cell>
          <cell r="E36">
            <v>573.88800000000003</v>
          </cell>
          <cell r="F36">
            <v>106.79</v>
          </cell>
          <cell r="G36">
            <v>683.30066815999999</v>
          </cell>
        </row>
        <row r="37">
          <cell r="A37">
            <v>51456</v>
          </cell>
          <cell r="B37" t="str">
            <v xml:space="preserve"> BASE,HMT,GN+,P55C/166,OPPLX,</v>
          </cell>
          <cell r="C37" t="str">
            <v>BAS</v>
          </cell>
          <cell r="D37" t="str">
            <v>970312</v>
          </cell>
          <cell r="E37">
            <v>588.65599999999995</v>
          </cell>
          <cell r="F37">
            <v>108.21</v>
          </cell>
          <cell r="G37">
            <v>699.55615791999992</v>
          </cell>
        </row>
        <row r="38">
          <cell r="A38">
            <v>51459</v>
          </cell>
          <cell r="B38" t="str">
            <v xml:space="preserve"> BASE,HMT,GN+,P55C/200,OPPLX,</v>
          </cell>
          <cell r="C38" t="str">
            <v>BAS</v>
          </cell>
          <cell r="D38" t="str">
            <v>970312</v>
          </cell>
          <cell r="E38">
            <v>799.505</v>
          </cell>
          <cell r="F38">
            <v>112.82</v>
          </cell>
          <cell r="G38">
            <v>915.97873785000002</v>
          </cell>
        </row>
        <row r="39">
          <cell r="A39">
            <v>51462</v>
          </cell>
          <cell r="B39" t="str">
            <v xml:space="preserve"> BASE,HMT,GN+,P55C/233,OPPLX,</v>
          </cell>
          <cell r="C39" t="str">
            <v>BAS</v>
          </cell>
          <cell r="D39" t="str">
            <v>970312</v>
          </cell>
          <cell r="E39">
            <v>888.64499999999998</v>
          </cell>
          <cell r="F39">
            <v>114.79</v>
          </cell>
          <cell r="G39">
            <v>1007.4961076499999</v>
          </cell>
        </row>
        <row r="40">
          <cell r="A40">
            <v>94557</v>
          </cell>
          <cell r="B40" t="str">
            <v xml:space="preserve"> BASE,OPPLX,DGX,6150/256K</v>
          </cell>
          <cell r="C40" t="str">
            <v>BAS</v>
          </cell>
          <cell r="D40" t="str">
            <v>951005</v>
          </cell>
          <cell r="E40">
            <v>1215.42</v>
          </cell>
          <cell r="F40">
            <v>108.21</v>
          </cell>
          <cell r="G40">
            <v>1329.1844694000001</v>
          </cell>
        </row>
        <row r="41">
          <cell r="A41">
            <v>50285</v>
          </cell>
          <cell r="B41" t="str">
            <v xml:space="preserve"> CUS,RDR,PCMCIA,F5,HH,HM</v>
          </cell>
          <cell r="C41" t="str">
            <v>CUS</v>
          </cell>
          <cell r="D41" t="str">
            <v>960611</v>
          </cell>
          <cell r="E41">
            <v>69.802000000000007</v>
          </cell>
          <cell r="F41">
            <v>0</v>
          </cell>
          <cell r="G41">
            <v>70.120995140000005</v>
          </cell>
        </row>
        <row r="42">
          <cell r="A42">
            <v>50287</v>
          </cell>
          <cell r="B42" t="str">
            <v xml:space="preserve"> CUS,TB,1.6G,F5,HH,NN,HM</v>
          </cell>
          <cell r="C42" t="str">
            <v>CUS</v>
          </cell>
          <cell r="D42" t="str">
            <v>960611</v>
          </cell>
          <cell r="E42">
            <v>119.61199999999999</v>
          </cell>
          <cell r="F42">
            <v>0</v>
          </cell>
          <cell r="G42">
            <v>120.15862684</v>
          </cell>
        </row>
        <row r="43">
          <cell r="A43">
            <v>63525</v>
          </cell>
          <cell r="B43" t="str">
            <v xml:space="preserve"> CUS,HD,1GB,I,F3,NC,HM/HL</v>
          </cell>
          <cell r="C43" t="str">
            <v>CUS</v>
          </cell>
          <cell r="D43" t="str">
            <v>960514</v>
          </cell>
          <cell r="E43">
            <v>139.50200000000001</v>
          </cell>
          <cell r="F43">
            <v>0</v>
          </cell>
          <cell r="G43">
            <v>140.13952413999999</v>
          </cell>
        </row>
        <row r="44">
          <cell r="A44">
            <v>63527</v>
          </cell>
          <cell r="B44" t="str">
            <v xml:space="preserve"> CUS,HD,1GB,S,F3,NC,HM</v>
          </cell>
          <cell r="C44" t="str">
            <v>CUS</v>
          </cell>
          <cell r="D44" t="str">
            <v>960514</v>
          </cell>
          <cell r="E44">
            <v>331.30200000000002</v>
          </cell>
          <cell r="F44">
            <v>0</v>
          </cell>
          <cell r="G44">
            <v>332.81605014000002</v>
          </cell>
        </row>
        <row r="45">
          <cell r="A45">
            <v>63528</v>
          </cell>
          <cell r="B45" t="str">
            <v xml:space="preserve"> CUS,HD,2GB,S,F3,NC,HM</v>
          </cell>
          <cell r="C45" t="str">
            <v>CUS</v>
          </cell>
          <cell r="D45" t="str">
            <v>960514</v>
          </cell>
          <cell r="E45">
            <v>531.30200000000002</v>
          </cell>
          <cell r="F45">
            <v>0</v>
          </cell>
          <cell r="G45">
            <v>533.73005014</v>
          </cell>
        </row>
        <row r="46">
          <cell r="A46">
            <v>63529</v>
          </cell>
          <cell r="B46" t="str">
            <v xml:space="preserve"> CUS,HD,4GB,S,F3,NC,HM</v>
          </cell>
          <cell r="C46" t="str">
            <v>CUS</v>
          </cell>
          <cell r="D46" t="str">
            <v>960514</v>
          </cell>
          <cell r="E46">
            <v>831.30200000000002</v>
          </cell>
          <cell r="F46">
            <v>0</v>
          </cell>
          <cell r="G46">
            <v>835.10105013999998</v>
          </cell>
        </row>
        <row r="47">
          <cell r="A47">
            <v>63530</v>
          </cell>
          <cell r="B47" t="str">
            <v xml:space="preserve"> CUS,CRD,CTL,PCI,CC,2940,HM</v>
          </cell>
          <cell r="C47" t="str">
            <v>CUS</v>
          </cell>
          <cell r="D47" t="str">
            <v>960514</v>
          </cell>
          <cell r="E47">
            <v>93.415999999999997</v>
          </cell>
          <cell r="F47">
            <v>0</v>
          </cell>
          <cell r="G47">
            <v>93.842911119999997</v>
          </cell>
        </row>
        <row r="48">
          <cell r="A48">
            <v>63532</v>
          </cell>
          <cell r="B48" t="str">
            <v xml:space="preserve"> CUS,TB,4/8GB,F5,NN,DAT,HM</v>
          </cell>
          <cell r="C48" t="str">
            <v>CUS</v>
          </cell>
          <cell r="D48" t="str">
            <v>960514</v>
          </cell>
          <cell r="E48">
            <v>571.005</v>
          </cell>
          <cell r="F48">
            <v>0</v>
          </cell>
          <cell r="G48">
            <v>573.61449284999992</v>
          </cell>
        </row>
        <row r="49">
          <cell r="A49">
            <v>66194</v>
          </cell>
          <cell r="B49" t="str">
            <v xml:space="preserve"> CUS,CD,680,I,F5,8X,SNY,HTRP</v>
          </cell>
          <cell r="C49" t="str">
            <v>CUS</v>
          </cell>
          <cell r="D49" t="str">
            <v>970407</v>
          </cell>
          <cell r="E49">
            <v>82.510999999999996</v>
          </cell>
          <cell r="F49">
            <v>0</v>
          </cell>
          <cell r="G49">
            <v>82.888075269999987</v>
          </cell>
        </row>
        <row r="50">
          <cell r="A50">
            <v>66195</v>
          </cell>
          <cell r="B50" t="str">
            <v xml:space="preserve"> CUS,CD,680,I,F5,8X,NEC,HTRP</v>
          </cell>
          <cell r="C50" t="str">
            <v>CUS</v>
          </cell>
          <cell r="D50" t="str">
            <v>970407</v>
          </cell>
          <cell r="E50">
            <v>78.686999999999998</v>
          </cell>
          <cell r="F50">
            <v>0</v>
          </cell>
          <cell r="G50">
            <v>79.04659959</v>
          </cell>
        </row>
        <row r="51">
          <cell r="A51">
            <v>66201</v>
          </cell>
          <cell r="B51" t="str">
            <v xml:space="preserve"> CUS,HD,2GB,I,F3,NC,WD,HTRP</v>
          </cell>
          <cell r="C51" t="str">
            <v>CUS</v>
          </cell>
          <cell r="D51" t="str">
            <v>970407</v>
          </cell>
          <cell r="E51">
            <v>172.50299999999999</v>
          </cell>
          <cell r="F51">
            <v>0</v>
          </cell>
          <cell r="G51">
            <v>173.29133870999999</v>
          </cell>
        </row>
        <row r="52">
          <cell r="A52">
            <v>66202</v>
          </cell>
          <cell r="B52" t="str">
            <v xml:space="preserve"> CUS,HD,3GB,I,F3,NC,WD,HTRP</v>
          </cell>
          <cell r="C52" t="str">
            <v>CUS</v>
          </cell>
          <cell r="D52" t="str">
            <v>970407</v>
          </cell>
          <cell r="E52">
            <v>208.50200000000001</v>
          </cell>
          <cell r="F52">
            <v>0</v>
          </cell>
          <cell r="G52">
            <v>209.45485414000001</v>
          </cell>
        </row>
        <row r="53">
          <cell r="A53">
            <v>94961</v>
          </cell>
          <cell r="B53" t="str">
            <v xml:space="preserve"> CUS,IC,P6-150,256K,2ND PRC,D</v>
          </cell>
          <cell r="C53" t="str">
            <v>CUS</v>
          </cell>
          <cell r="D53" t="str">
            <v>951012</v>
          </cell>
          <cell r="E53">
            <v>557.67600000000004</v>
          </cell>
          <cell r="F53">
            <v>0</v>
          </cell>
          <cell r="G53">
            <v>560.22457931999998</v>
          </cell>
        </row>
        <row r="54">
          <cell r="A54">
            <v>94962</v>
          </cell>
          <cell r="B54" t="str">
            <v xml:space="preserve"> CUS,IC,P6-166,256K,2ND PRC,D</v>
          </cell>
          <cell r="C54" t="str">
            <v>CUS</v>
          </cell>
          <cell r="D54" t="str">
            <v>951012</v>
          </cell>
          <cell r="E54">
            <v>908.39700000000005</v>
          </cell>
          <cell r="F54">
            <v>0</v>
          </cell>
          <cell r="G54">
            <v>912.54837428999997</v>
          </cell>
        </row>
        <row r="55">
          <cell r="A55">
            <v>94963</v>
          </cell>
          <cell r="B55" t="str">
            <v xml:space="preserve"> CUS,IC,P6-166,512K,2ND PRC,D</v>
          </cell>
          <cell r="C55" t="str">
            <v>CUS</v>
          </cell>
          <cell r="D55" t="str">
            <v>951012</v>
          </cell>
          <cell r="E55">
            <v>683.39700000000005</v>
          </cell>
          <cell r="F55">
            <v>0</v>
          </cell>
          <cell r="G55">
            <v>686.52012429000001</v>
          </cell>
        </row>
        <row r="56">
          <cell r="A56">
            <v>95390</v>
          </cell>
          <cell r="B56" t="str">
            <v xml:space="preserve"> CUS,MM,AWE32,PNP,WAVTBL,CREA</v>
          </cell>
          <cell r="C56" t="str">
            <v>CUS</v>
          </cell>
          <cell r="D56" t="str">
            <v>951031</v>
          </cell>
          <cell r="E56">
            <v>72.760000000000005</v>
          </cell>
          <cell r="F56">
            <v>0</v>
          </cell>
          <cell r="G56">
            <v>73.092513199999999</v>
          </cell>
        </row>
        <row r="57">
          <cell r="A57">
            <v>4976</v>
          </cell>
          <cell r="B57" t="str">
            <v xml:space="preserve"> MNL,SVC,DIM2,MT</v>
          </cell>
          <cell r="C57" t="str">
            <v>DOC</v>
          </cell>
          <cell r="D57" t="str">
            <v>941214</v>
          </cell>
          <cell r="E57">
            <v>0</v>
          </cell>
          <cell r="F57">
            <v>0</v>
          </cell>
          <cell r="G57">
            <v>0</v>
          </cell>
        </row>
        <row r="58">
          <cell r="A58">
            <v>47420</v>
          </cell>
          <cell r="B58" t="str">
            <v xml:space="preserve"> KYBD,CR,101,6P,DOM,LXMRK</v>
          </cell>
          <cell r="C58" t="str">
            <v>KBD</v>
          </cell>
          <cell r="D58" t="str">
            <v>930727</v>
          </cell>
          <cell r="E58">
            <v>30.95</v>
          </cell>
          <cell r="F58">
            <v>0</v>
          </cell>
          <cell r="G58">
            <v>31.091441499999998</v>
          </cell>
        </row>
        <row r="59">
          <cell r="A59">
            <v>47422</v>
          </cell>
          <cell r="B59" t="str">
            <v xml:space="preserve"> KYBD,101,8049,6P,USA,SLTEK,M</v>
          </cell>
          <cell r="C59" t="str">
            <v>KBD</v>
          </cell>
          <cell r="D59" t="str">
            <v>930727</v>
          </cell>
          <cell r="E59">
            <v>30.03</v>
          </cell>
          <cell r="F59">
            <v>0</v>
          </cell>
          <cell r="G59">
            <v>30.167237100000001</v>
          </cell>
        </row>
        <row r="60">
          <cell r="A60">
            <v>4883</v>
          </cell>
          <cell r="B60" t="str">
            <v xml:space="preserve"> MOD,CRD,NTWK,16BIT,3C509B-CO</v>
          </cell>
          <cell r="C60" t="str">
            <v>MOD</v>
          </cell>
          <cell r="D60" t="str">
            <v>941213</v>
          </cell>
          <cell r="E60">
            <v>49.05</v>
          </cell>
          <cell r="F60">
            <v>0</v>
          </cell>
          <cell r="G60">
            <v>49.274158499999999</v>
          </cell>
        </row>
        <row r="61">
          <cell r="A61">
            <v>8235</v>
          </cell>
          <cell r="B61" t="str">
            <v xml:space="preserve"> MOD,CRD,NTWK,ENET,3C595-TX,E</v>
          </cell>
          <cell r="C61" t="str">
            <v>MOD</v>
          </cell>
          <cell r="D61" t="str">
            <v>950413</v>
          </cell>
          <cell r="E61">
            <v>72.91</v>
          </cell>
          <cell r="F61">
            <v>0</v>
          </cell>
          <cell r="G61">
            <v>73.243198699999994</v>
          </cell>
        </row>
        <row r="62">
          <cell r="A62">
            <v>8349</v>
          </cell>
          <cell r="B62" t="str">
            <v xml:space="preserve"> MOD,CRD,NTWK,TRING,IBM PCI,E</v>
          </cell>
          <cell r="C62" t="str">
            <v>MOD</v>
          </cell>
          <cell r="D62" t="str">
            <v>950411</v>
          </cell>
          <cell r="E62">
            <v>215</v>
          </cell>
          <cell r="F62">
            <v>0</v>
          </cell>
          <cell r="G62">
            <v>215.98255</v>
          </cell>
        </row>
        <row r="63">
          <cell r="A63">
            <v>9537</v>
          </cell>
          <cell r="B63" t="str">
            <v xml:space="preserve"> MOD,CRD,NTWK,ENET,3C590-COMB</v>
          </cell>
          <cell r="C63" t="str">
            <v>MOD</v>
          </cell>
          <cell r="D63" t="str">
            <v>950512</v>
          </cell>
          <cell r="E63">
            <v>64.540000000000006</v>
          </cell>
          <cell r="F63">
            <v>0</v>
          </cell>
          <cell r="G63">
            <v>64.834947800000009</v>
          </cell>
        </row>
        <row r="64">
          <cell r="A64">
            <v>9680</v>
          </cell>
          <cell r="B64" t="str">
            <v xml:space="preserve"> MOD,SPKRS,MM,ACS5,ALTEC,115V</v>
          </cell>
          <cell r="C64" t="str">
            <v>MOD</v>
          </cell>
          <cell r="D64" t="str">
            <v>950518</v>
          </cell>
          <cell r="E64">
            <v>25.38</v>
          </cell>
          <cell r="F64">
            <v>0</v>
          </cell>
          <cell r="G64">
            <v>25.495986599999998</v>
          </cell>
        </row>
        <row r="65">
          <cell r="A65">
            <v>9681</v>
          </cell>
          <cell r="B65" t="str">
            <v xml:space="preserve"> MOD,SPKRS,MM,ACS31,ALTEC,115</v>
          </cell>
          <cell r="C65" t="str">
            <v>MOD</v>
          </cell>
          <cell r="D65" t="str">
            <v>950518</v>
          </cell>
          <cell r="E65">
            <v>73.34</v>
          </cell>
          <cell r="F65">
            <v>0</v>
          </cell>
          <cell r="G65">
            <v>73.675163800000007</v>
          </cell>
        </row>
        <row r="66">
          <cell r="A66">
            <v>29151</v>
          </cell>
          <cell r="B66" t="str">
            <v xml:space="preserve"> MOD,KYBD,104,6P,WIN95,RD,QK,</v>
          </cell>
          <cell r="C66" t="str">
            <v>MOD</v>
          </cell>
          <cell r="D66" t="str">
            <v>950803</v>
          </cell>
          <cell r="E66">
            <v>12.039</v>
          </cell>
          <cell r="F66">
            <v>0</v>
          </cell>
          <cell r="G66">
            <v>12.09401823</v>
          </cell>
        </row>
        <row r="67">
          <cell r="A67">
            <v>50280</v>
          </cell>
          <cell r="B67" t="str">
            <v xml:space="preserve"> MOD,TB,1.6G,F5,HH,NN,HM,WINN</v>
          </cell>
          <cell r="C67" t="str">
            <v>MOD</v>
          </cell>
          <cell r="D67" t="str">
            <v>960611</v>
          </cell>
          <cell r="E67">
            <v>110.661</v>
          </cell>
          <cell r="F67">
            <v>0</v>
          </cell>
          <cell r="G67">
            <v>111.16672077</v>
          </cell>
        </row>
        <row r="68">
          <cell r="A68">
            <v>50282</v>
          </cell>
          <cell r="B68" t="str">
            <v xml:space="preserve"> MOD,TB,1.6G,F5,HH,CC,HM</v>
          </cell>
          <cell r="C68" t="str">
            <v>MOD</v>
          </cell>
          <cell r="D68" t="str">
            <v>960611</v>
          </cell>
          <cell r="E68">
            <v>130.922</v>
          </cell>
          <cell r="F68">
            <v>0</v>
          </cell>
          <cell r="G68">
            <v>131.52031353999999</v>
          </cell>
        </row>
        <row r="69">
          <cell r="A69">
            <v>50283</v>
          </cell>
          <cell r="B69" t="str">
            <v xml:space="preserve"> MOD,TB,1.6G,F5,HH,NN,HM</v>
          </cell>
          <cell r="C69" t="str">
            <v>MOD</v>
          </cell>
          <cell r="D69" t="str">
            <v>960611</v>
          </cell>
          <cell r="E69">
            <v>111.913</v>
          </cell>
          <cell r="F69">
            <v>0</v>
          </cell>
          <cell r="G69">
            <v>112.42444241</v>
          </cell>
        </row>
        <row r="70">
          <cell r="A70">
            <v>50284</v>
          </cell>
          <cell r="B70" t="str">
            <v xml:space="preserve"> MOD,RDR,PCMCIA,F5,HH,HM</v>
          </cell>
          <cell r="C70" t="str">
            <v>MOD</v>
          </cell>
          <cell r="D70" t="str">
            <v>960611</v>
          </cell>
          <cell r="E70">
            <v>69.802000000000007</v>
          </cell>
          <cell r="F70">
            <v>0</v>
          </cell>
          <cell r="G70">
            <v>70.120995140000005</v>
          </cell>
        </row>
        <row r="71">
          <cell r="A71">
            <v>50548</v>
          </cell>
          <cell r="B71" t="str">
            <v xml:space="preserve"> MOD,MDM,33.6,INT,TELEPHONY,U</v>
          </cell>
          <cell r="C71" t="str">
            <v>MOD</v>
          </cell>
          <cell r="D71" t="str">
            <v>960619</v>
          </cell>
          <cell r="E71">
            <v>70.180000000000007</v>
          </cell>
          <cell r="F71">
            <v>1.2</v>
          </cell>
          <cell r="G71">
            <v>71.700722600000006</v>
          </cell>
        </row>
        <row r="72">
          <cell r="A72">
            <v>50796</v>
          </cell>
          <cell r="B72" t="str">
            <v xml:space="preserve"> MOD,HD,2GB,I,F3,NN,#2,QTM,HM</v>
          </cell>
          <cell r="C72" t="str">
            <v>MOD</v>
          </cell>
          <cell r="D72" t="str">
            <v>960625</v>
          </cell>
          <cell r="E72">
            <v>171.05199999999999</v>
          </cell>
          <cell r="F72">
            <v>0</v>
          </cell>
          <cell r="G72">
            <v>171.83370764</v>
          </cell>
        </row>
        <row r="73">
          <cell r="A73">
            <v>53044</v>
          </cell>
          <cell r="B73" t="str">
            <v xml:space="preserve"> MOD,HD,2GB,I,F3,NN,#2,WD,HM</v>
          </cell>
          <cell r="C73" t="str">
            <v>MOD</v>
          </cell>
          <cell r="D73" t="str">
            <v>960903</v>
          </cell>
          <cell r="E73">
            <v>168.053</v>
          </cell>
          <cell r="F73">
            <v>0</v>
          </cell>
          <cell r="G73">
            <v>168.82100220999999</v>
          </cell>
        </row>
        <row r="74">
          <cell r="A74">
            <v>53054</v>
          </cell>
          <cell r="B74" t="str">
            <v xml:space="preserve"> MOD,HD,3GB,I,F3,NN,#2,WD,HM</v>
          </cell>
          <cell r="C74" t="str">
            <v>MOD</v>
          </cell>
          <cell r="D74" t="str">
            <v>960903</v>
          </cell>
          <cell r="E74">
            <v>204.05199999999999</v>
          </cell>
          <cell r="F74">
            <v>0</v>
          </cell>
          <cell r="G74">
            <v>204.98451763999998</v>
          </cell>
        </row>
        <row r="75">
          <cell r="A75">
            <v>54523</v>
          </cell>
          <cell r="B75" t="str">
            <v xml:space="preserve"> MOD,PWA,RSR,5 SLT,PASS,HM</v>
          </cell>
          <cell r="C75" t="str">
            <v>MOD</v>
          </cell>
          <cell r="D75" t="str">
            <v>970227</v>
          </cell>
          <cell r="E75">
            <v>13.904999999999999</v>
          </cell>
          <cell r="F75">
            <v>0</v>
          </cell>
          <cell r="G75">
            <v>13.968545849999998</v>
          </cell>
        </row>
        <row r="76">
          <cell r="A76">
            <v>54525</v>
          </cell>
          <cell r="B76" t="str">
            <v xml:space="preserve"> MOD,PWA,RSR,3 SLT,HL</v>
          </cell>
          <cell r="C76" t="str">
            <v>MOD</v>
          </cell>
          <cell r="D76" t="str">
            <v>970227</v>
          </cell>
          <cell r="E76">
            <v>10.063000000000001</v>
          </cell>
          <cell r="F76">
            <v>0</v>
          </cell>
          <cell r="G76">
            <v>10.10898791</v>
          </cell>
        </row>
        <row r="77">
          <cell r="A77">
            <v>54526</v>
          </cell>
          <cell r="B77" t="str">
            <v xml:space="preserve"> MOD,PWA,RSR,3PCI/2ISA,ACTV,H</v>
          </cell>
          <cell r="C77" t="str">
            <v>MOD</v>
          </cell>
          <cell r="D77" t="str">
            <v>970227</v>
          </cell>
          <cell r="E77">
            <v>41.83</v>
          </cell>
          <cell r="F77">
            <v>0</v>
          </cell>
          <cell r="G77">
            <v>42.021163099999995</v>
          </cell>
        </row>
        <row r="78">
          <cell r="A78">
            <v>55601</v>
          </cell>
          <cell r="B78" t="str">
            <v xml:space="preserve"> MOD,FD,1.44,BT,NC,HTRP,TEAC</v>
          </cell>
          <cell r="C78" t="str">
            <v>MOD</v>
          </cell>
          <cell r="D78" t="str">
            <v>970317</v>
          </cell>
          <cell r="E78">
            <v>17.977</v>
          </cell>
          <cell r="F78">
            <v>0</v>
          </cell>
          <cell r="G78">
            <v>18.059154889999999</v>
          </cell>
        </row>
        <row r="79">
          <cell r="A79">
            <v>58581</v>
          </cell>
          <cell r="B79" t="str">
            <v xml:space="preserve"> MOD,MDM,336,INT,TELEP,NT40,U</v>
          </cell>
          <cell r="C79" t="str">
            <v>MOD</v>
          </cell>
          <cell r="D79" t="str">
            <v>960813</v>
          </cell>
          <cell r="E79">
            <v>70.180000000000007</v>
          </cell>
          <cell r="F79">
            <v>1.2</v>
          </cell>
          <cell r="G79">
            <v>71.700722600000006</v>
          </cell>
        </row>
        <row r="80">
          <cell r="A80">
            <v>66186</v>
          </cell>
          <cell r="B80" t="str">
            <v xml:space="preserve"> MOD,HD,2GB,I,F3,NC,#1,WD,HTR</v>
          </cell>
          <cell r="C80" t="str">
            <v>MOD</v>
          </cell>
          <cell r="D80" t="str">
            <v>970407</v>
          </cell>
          <cell r="E80">
            <v>169.85300000000001</v>
          </cell>
          <cell r="F80">
            <v>0</v>
          </cell>
          <cell r="G80">
            <v>170.62922821000001</v>
          </cell>
        </row>
        <row r="81">
          <cell r="A81">
            <v>66189</v>
          </cell>
          <cell r="B81" t="str">
            <v xml:space="preserve"> MOD,CD,680M,I,F5,HH,NN,FS,HT</v>
          </cell>
          <cell r="C81" t="str">
            <v>MOD</v>
          </cell>
          <cell r="D81" t="str">
            <v>970407</v>
          </cell>
          <cell r="E81">
            <v>74.787000000000006</v>
          </cell>
          <cell r="F81">
            <v>0</v>
          </cell>
          <cell r="G81">
            <v>75.128776590000001</v>
          </cell>
        </row>
        <row r="82">
          <cell r="A82">
            <v>66191</v>
          </cell>
          <cell r="B82" t="str">
            <v xml:space="preserve"> MOD,CD,680,I,F5,HH,NN,HTRP</v>
          </cell>
          <cell r="C82" t="str">
            <v>MOD</v>
          </cell>
          <cell r="D82" t="str">
            <v>970407</v>
          </cell>
          <cell r="E82">
            <v>78.611000000000004</v>
          </cell>
          <cell r="F82">
            <v>0</v>
          </cell>
          <cell r="G82">
            <v>78.970252270000003</v>
          </cell>
        </row>
        <row r="83">
          <cell r="A83">
            <v>66258</v>
          </cell>
          <cell r="B83" t="str">
            <v xml:space="preserve"> MOD,HD,2GB,I,F3,NN,#2,MXTR,H</v>
          </cell>
          <cell r="C83" t="str">
            <v>MOD</v>
          </cell>
          <cell r="D83" t="str">
            <v>970407</v>
          </cell>
          <cell r="E83">
            <v>165.05199999999999</v>
          </cell>
          <cell r="F83">
            <v>0</v>
          </cell>
          <cell r="G83">
            <v>165.80628763999999</v>
          </cell>
        </row>
        <row r="84">
          <cell r="A84">
            <v>66263</v>
          </cell>
          <cell r="B84" t="str">
            <v xml:space="preserve"> MOD,HD,3GB,I,F3,NN,#2,MXTR,H</v>
          </cell>
          <cell r="C84" t="str">
            <v>MOD</v>
          </cell>
          <cell r="D84" t="str">
            <v>970407</v>
          </cell>
          <cell r="E84">
            <v>199.05199999999999</v>
          </cell>
          <cell r="F84">
            <v>0</v>
          </cell>
          <cell r="G84">
            <v>199.96166763999997</v>
          </cell>
        </row>
        <row r="85">
          <cell r="A85">
            <v>78274</v>
          </cell>
          <cell r="B85" t="str">
            <v xml:space="preserve"> MOD,NTWK,PCI,RACAL</v>
          </cell>
          <cell r="C85" t="str">
            <v>MOD</v>
          </cell>
          <cell r="D85" t="str">
            <v>940421</v>
          </cell>
          <cell r="E85">
            <v>88.5</v>
          </cell>
          <cell r="F85">
            <v>0</v>
          </cell>
          <cell r="G85">
            <v>88.904444999999996</v>
          </cell>
        </row>
        <row r="86">
          <cell r="A86">
            <v>82053</v>
          </cell>
          <cell r="B86" t="str">
            <v xml:space="preserve"> MOD,CRD,VID,PCI,4M,#9,I128V2</v>
          </cell>
          <cell r="C86" t="str">
            <v>MOD</v>
          </cell>
          <cell r="D86" t="str">
            <v>960308</v>
          </cell>
          <cell r="E86">
            <v>401.82</v>
          </cell>
          <cell r="F86">
            <v>0</v>
          </cell>
          <cell r="G86">
            <v>403.65631739999998</v>
          </cell>
        </row>
        <row r="87">
          <cell r="A87">
            <v>85283</v>
          </cell>
          <cell r="B87" t="str">
            <v xml:space="preserve"> MOD,HD,3G,I,F3,NC,#1,MXTR,HM</v>
          </cell>
          <cell r="C87" t="str">
            <v>MOD</v>
          </cell>
          <cell r="D87" t="str">
            <v>970506</v>
          </cell>
          <cell r="E87">
            <v>200.852</v>
          </cell>
          <cell r="F87">
            <v>0</v>
          </cell>
          <cell r="G87">
            <v>201.76989363999999</v>
          </cell>
        </row>
        <row r="88">
          <cell r="A88">
            <v>93536</v>
          </cell>
          <cell r="B88" t="str">
            <v xml:space="preserve"> MOD,FD/TBU,BT,NC,HL,TEAC/CON</v>
          </cell>
          <cell r="C88" t="str">
            <v>MOD</v>
          </cell>
          <cell r="D88" t="str">
            <v>960327</v>
          </cell>
          <cell r="E88">
            <v>129.84100000000001</v>
          </cell>
          <cell r="F88">
            <v>0</v>
          </cell>
          <cell r="G88">
            <v>130.43437337</v>
          </cell>
        </row>
        <row r="89">
          <cell r="A89">
            <v>94012</v>
          </cell>
          <cell r="B89" t="str">
            <v xml:space="preserve"> MOD,NO FD OPT,OPPLX,HM/HL</v>
          </cell>
          <cell r="C89" t="str">
            <v>MOD</v>
          </cell>
          <cell r="D89" t="str">
            <v>960409</v>
          </cell>
          <cell r="E89">
            <v>0.33900000000000002</v>
          </cell>
          <cell r="F89">
            <v>0</v>
          </cell>
          <cell r="G89">
            <v>0.34054923000000004</v>
          </cell>
        </row>
        <row r="90">
          <cell r="A90">
            <v>95096</v>
          </cell>
          <cell r="B90" t="str">
            <v xml:space="preserve"> MOD,FD,1.44,BT,NC,HM,TEAC</v>
          </cell>
          <cell r="C90" t="str">
            <v>MOD</v>
          </cell>
          <cell r="D90" t="str">
            <v>951020</v>
          </cell>
          <cell r="E90">
            <v>17.766999999999999</v>
          </cell>
          <cell r="F90">
            <v>0</v>
          </cell>
          <cell r="G90">
            <v>17.848195189999998</v>
          </cell>
        </row>
        <row r="91">
          <cell r="A91">
            <v>95132</v>
          </cell>
          <cell r="B91" t="str">
            <v xml:space="preserve"> MOD,HD,1.6GB,I,F3,NC,#1,HONE</v>
          </cell>
          <cell r="C91" t="str">
            <v>MOD</v>
          </cell>
          <cell r="D91" t="str">
            <v>951023</v>
          </cell>
          <cell r="E91">
            <v>225.85599999999999</v>
          </cell>
          <cell r="F91">
            <v>0</v>
          </cell>
          <cell r="G91">
            <v>226.88816191999999</v>
          </cell>
        </row>
        <row r="92">
          <cell r="A92">
            <v>95389</v>
          </cell>
          <cell r="B92" t="str">
            <v xml:space="preserve"> MOD,MM,AWE32,PNP,WAVTBL,CREA</v>
          </cell>
          <cell r="C92" t="str">
            <v>MOD</v>
          </cell>
          <cell r="D92" t="str">
            <v>951031</v>
          </cell>
          <cell r="E92">
            <v>72.17</v>
          </cell>
          <cell r="F92">
            <v>0</v>
          </cell>
          <cell r="G92">
            <v>72.499816899999999</v>
          </cell>
        </row>
        <row r="93">
          <cell r="A93">
            <v>95790</v>
          </cell>
          <cell r="B93" t="str">
            <v xml:space="preserve"> MOD,NO FD OPT,OPPLX,HTRP</v>
          </cell>
          <cell r="C93" t="str">
            <v>MOD</v>
          </cell>
          <cell r="D93" t="str">
            <v>970221</v>
          </cell>
          <cell r="E93">
            <v>0.33200000000000002</v>
          </cell>
          <cell r="F93">
            <v>0</v>
          </cell>
          <cell r="G93">
            <v>0.33351723999999999</v>
          </cell>
        </row>
        <row r="94">
          <cell r="A94">
            <v>98198</v>
          </cell>
          <cell r="B94" t="str">
            <v xml:space="preserve"> MOD,HD,850MB,I,F3,NC,#1,WD,H</v>
          </cell>
          <cell r="C94" t="str">
            <v>MOD</v>
          </cell>
          <cell r="D94" t="str">
            <v>951217</v>
          </cell>
          <cell r="E94">
            <v>142.852</v>
          </cell>
          <cell r="F94">
            <v>0</v>
          </cell>
          <cell r="G94">
            <v>143.50483363999999</v>
          </cell>
        </row>
        <row r="95">
          <cell r="A95">
            <v>98199</v>
          </cell>
          <cell r="B95" t="str">
            <v xml:space="preserve"> MOD,HD,850MB,I,F3,NN,#2,WD,H</v>
          </cell>
          <cell r="C95" t="str">
            <v>MOD</v>
          </cell>
          <cell r="D95" t="str">
            <v>951217</v>
          </cell>
          <cell r="E95">
            <v>141.05199999999999</v>
          </cell>
          <cell r="F95">
            <v>0</v>
          </cell>
          <cell r="G95">
            <v>141.69660764</v>
          </cell>
        </row>
        <row r="96">
          <cell r="A96">
            <v>9656</v>
          </cell>
          <cell r="B96" t="str">
            <v xml:space="preserve"> DIS,MSCN,CLR,17,D,D1726S-HS,</v>
          </cell>
          <cell r="C96" t="str">
            <v>MON</v>
          </cell>
          <cell r="D96" t="str">
            <v>950517</v>
          </cell>
          <cell r="E96">
            <v>580</v>
          </cell>
          <cell r="F96">
            <v>4.37</v>
          </cell>
          <cell r="G96">
            <v>587.02059999999994</v>
          </cell>
        </row>
        <row r="97">
          <cell r="A97">
            <v>9841</v>
          </cell>
          <cell r="B97" t="str">
            <v xml:space="preserve"> DIS,MSCN,CLR,15,D,D1526TX-HS</v>
          </cell>
          <cell r="C97" t="str">
            <v>MON</v>
          </cell>
          <cell r="D97" t="str">
            <v>950525</v>
          </cell>
          <cell r="E97">
            <v>285.19</v>
          </cell>
          <cell r="F97">
            <v>3.07</v>
          </cell>
          <cell r="G97">
            <v>289.56331829999999</v>
          </cell>
        </row>
        <row r="98">
          <cell r="A98">
            <v>65532</v>
          </cell>
          <cell r="B98" t="str">
            <v xml:space="preserve"> DIS,MSCN,CLR,21,D,D2130T-HS,</v>
          </cell>
          <cell r="C98" t="str">
            <v>MON</v>
          </cell>
          <cell r="D98" t="str">
            <v>940829</v>
          </cell>
          <cell r="E98">
            <v>1256</v>
          </cell>
          <cell r="F98">
            <v>5.89</v>
          </cell>
          <cell r="G98">
            <v>1267.6299200000001</v>
          </cell>
        </row>
        <row r="99">
          <cell r="A99">
            <v>90627</v>
          </cell>
          <cell r="B99" t="str">
            <v xml:space="preserve"> DIS,MSCN,CLR,15,D,D1528,DDC,</v>
          </cell>
          <cell r="C99" t="str">
            <v>MON</v>
          </cell>
          <cell r="D99" t="str">
            <v>950823</v>
          </cell>
          <cell r="E99">
            <v>238.626</v>
          </cell>
          <cell r="F99">
            <v>4.18</v>
          </cell>
          <cell r="G99">
            <v>243.89652082000001</v>
          </cell>
        </row>
        <row r="100">
          <cell r="A100">
            <v>15</v>
          </cell>
          <cell r="B100" t="str">
            <v xml:space="preserve"> LBR,EXPED FEE</v>
          </cell>
          <cell r="C100" t="str">
            <v>MSC</v>
          </cell>
          <cell r="D100" t="str">
            <v>900629</v>
          </cell>
          <cell r="E100">
            <v>0</v>
          </cell>
          <cell r="F100">
            <v>0</v>
          </cell>
          <cell r="G100">
            <v>0</v>
          </cell>
        </row>
        <row r="101">
          <cell r="A101">
            <v>78514</v>
          </cell>
          <cell r="B101" t="str">
            <v xml:space="preserve"> SERV,3YR WARR,YR1,NBD,ON-SIT</v>
          </cell>
          <cell r="C101" t="str">
            <v>MSC</v>
          </cell>
          <cell r="D101" t="str">
            <v>940425</v>
          </cell>
          <cell r="E101">
            <v>0</v>
          </cell>
          <cell r="F101">
            <v>0</v>
          </cell>
          <cell r="G101">
            <v>0</v>
          </cell>
        </row>
        <row r="102">
          <cell r="A102">
            <v>78515</v>
          </cell>
          <cell r="B102" t="str">
            <v xml:space="preserve"> SERV,3YR WARR,YRS 2&amp;3,PARTS</v>
          </cell>
          <cell r="C102" t="str">
            <v>MSC</v>
          </cell>
          <cell r="D102" t="str">
            <v>940425</v>
          </cell>
          <cell r="E102">
            <v>0</v>
          </cell>
          <cell r="F102">
            <v>0</v>
          </cell>
          <cell r="G102">
            <v>0</v>
          </cell>
        </row>
        <row r="103">
          <cell r="A103">
            <v>78516</v>
          </cell>
          <cell r="B103" t="str">
            <v xml:space="preserve"> SERV,3YR WARR,YR1,NBD,ON-SIT</v>
          </cell>
          <cell r="C103" t="str">
            <v>MSC</v>
          </cell>
          <cell r="D103" t="str">
            <v>940425</v>
          </cell>
          <cell r="E103">
            <v>0</v>
          </cell>
          <cell r="F103">
            <v>0</v>
          </cell>
          <cell r="G103">
            <v>0</v>
          </cell>
        </row>
        <row r="104">
          <cell r="A104">
            <v>78517</v>
          </cell>
          <cell r="B104" t="str">
            <v xml:space="preserve"> SERV,3YR WARR,YRS 2&amp;3,NBD OS</v>
          </cell>
          <cell r="C104" t="str">
            <v>MSC</v>
          </cell>
          <cell r="D104" t="str">
            <v>940425</v>
          </cell>
          <cell r="E104">
            <v>0</v>
          </cell>
          <cell r="F104">
            <v>0</v>
          </cell>
          <cell r="G104">
            <v>0</v>
          </cell>
        </row>
        <row r="105">
          <cell r="A105">
            <v>78518</v>
          </cell>
          <cell r="B105" t="str">
            <v xml:space="preserve"> SERV,3YR WARR,YR1,DWNGRD PAR</v>
          </cell>
          <cell r="C105" t="str">
            <v>MSC</v>
          </cell>
          <cell r="D105" t="str">
            <v>940425</v>
          </cell>
          <cell r="E105">
            <v>0</v>
          </cell>
          <cell r="F105">
            <v>0</v>
          </cell>
          <cell r="G105">
            <v>0</v>
          </cell>
        </row>
        <row r="106">
          <cell r="A106">
            <v>78519</v>
          </cell>
          <cell r="B106" t="str">
            <v xml:space="preserve"> SERV,3YR WARR,YRS 2&amp;3,PARTS</v>
          </cell>
          <cell r="C106" t="str">
            <v>MSC</v>
          </cell>
          <cell r="D106" t="str">
            <v>940425</v>
          </cell>
          <cell r="E106">
            <v>0</v>
          </cell>
          <cell r="F106">
            <v>0</v>
          </cell>
          <cell r="G106">
            <v>0</v>
          </cell>
        </row>
        <row r="107">
          <cell r="A107">
            <v>81519</v>
          </cell>
          <cell r="B107" t="str">
            <v xml:space="preserve"> INFO,NO HD,OPPLX,HM/HL</v>
          </cell>
          <cell r="C107" t="str">
            <v>MSC</v>
          </cell>
          <cell r="D107" t="str">
            <v>960227</v>
          </cell>
          <cell r="E107">
            <v>0</v>
          </cell>
          <cell r="F107">
            <v>0</v>
          </cell>
          <cell r="G107">
            <v>0</v>
          </cell>
        </row>
        <row r="108">
          <cell r="A108">
            <v>24654</v>
          </cell>
          <cell r="B108" t="str">
            <v xml:space="preserve"> SERV,INIT,ON-SITE,NBD,PC</v>
          </cell>
          <cell r="C108" t="str">
            <v>SFW</v>
          </cell>
          <cell r="D108" t="str">
            <v>920123</v>
          </cell>
          <cell r="E108">
            <v>0</v>
          </cell>
          <cell r="F108">
            <v>0</v>
          </cell>
          <cell r="G108">
            <v>0</v>
          </cell>
        </row>
        <row r="109">
          <cell r="A109">
            <v>34753</v>
          </cell>
          <cell r="B109" t="str">
            <v xml:space="preserve"> SERV,PARTS,INIT,NBD</v>
          </cell>
          <cell r="C109" t="str">
            <v>SFW</v>
          </cell>
          <cell r="D109" t="str">
            <v>921120</v>
          </cell>
          <cell r="E109">
            <v>0</v>
          </cell>
          <cell r="F109">
            <v>0</v>
          </cell>
          <cell r="G109">
            <v>0</v>
          </cell>
        </row>
        <row r="110">
          <cell r="A110">
            <v>35825</v>
          </cell>
          <cell r="B110" t="str">
            <v xml:space="preserve"> INFO,FISA,LABOR,INSTL CHARGE</v>
          </cell>
          <cell r="C110" t="str">
            <v>SFW</v>
          </cell>
          <cell r="D110" t="str">
            <v>921218</v>
          </cell>
          <cell r="E110">
            <v>0</v>
          </cell>
          <cell r="F110">
            <v>0</v>
          </cell>
          <cell r="G110">
            <v>0</v>
          </cell>
        </row>
        <row r="111">
          <cell r="A111">
            <v>59661</v>
          </cell>
          <cell r="E111">
            <v>6.62</v>
          </cell>
          <cell r="F111">
            <v>6.6449999999999996</v>
          </cell>
          <cell r="G111">
            <v>6.6449999999999996</v>
          </cell>
        </row>
        <row r="112">
          <cell r="A112">
            <v>59667</v>
          </cell>
          <cell r="E112">
            <v>6.88</v>
          </cell>
          <cell r="F112">
            <v>6.9070000000000009</v>
          </cell>
          <cell r="G112">
            <v>6.9070000000000009</v>
          </cell>
        </row>
        <row r="113">
          <cell r="A113">
            <v>59670</v>
          </cell>
          <cell r="E113">
            <v>6.88</v>
          </cell>
          <cell r="F113">
            <v>6.9070000000000009</v>
          </cell>
          <cell r="G113">
            <v>6.9070000000000009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J38"/>
  <sheetViews>
    <sheetView showGridLines="0" zoomScaleNormal="100" workbookViewId="0">
      <selection activeCell="I12" sqref="I12"/>
    </sheetView>
  </sheetViews>
  <sheetFormatPr defaultColWidth="8.6640625" defaultRowHeight="13.8" x14ac:dyDescent="0.3"/>
  <cols>
    <col min="1" max="9" width="8.6640625" style="13"/>
    <col min="10" max="10" width="25.77734375" style="13" customWidth="1"/>
    <col min="11" max="16384" width="8.6640625" style="13"/>
  </cols>
  <sheetData>
    <row r="5" spans="2:10" s="11" customFormat="1" ht="11.25" customHeight="1" x14ac:dyDescent="0.3">
      <c r="B5" s="10"/>
      <c r="C5" s="10"/>
      <c r="D5" s="10"/>
      <c r="E5" s="10"/>
      <c r="F5" s="10"/>
      <c r="G5" s="10"/>
      <c r="I5" s="12"/>
    </row>
    <row r="13" spans="2:10" ht="31.2" x14ac:dyDescent="0.6">
      <c r="C13" s="73" t="str">
        <f>文件資訊!$C$5</f>
        <v>風險控制矩陣（RCM）_銷售及收款循環</v>
      </c>
      <c r="D13" s="74"/>
      <c r="E13" s="74"/>
      <c r="F13" s="74"/>
      <c r="G13" s="74"/>
      <c r="H13" s="74"/>
      <c r="I13" s="74"/>
      <c r="J13" s="74"/>
    </row>
    <row r="14" spans="2:10" ht="31.2" x14ac:dyDescent="0.6">
      <c r="C14" s="75"/>
      <c r="D14" s="76"/>
      <c r="E14" s="76"/>
      <c r="F14" s="76"/>
      <c r="G14" s="76"/>
      <c r="H14" s="76"/>
      <c r="I14" s="76"/>
      <c r="J14" s="76"/>
    </row>
    <row r="15" spans="2:10" x14ac:dyDescent="0.3">
      <c r="C15" s="14"/>
    </row>
    <row r="16" spans="2:10" x14ac:dyDescent="0.3">
      <c r="C16" s="15" t="s">
        <v>379</v>
      </c>
      <c r="D16" s="16" t="str">
        <f>文件資訊!$C$8</f>
        <v>&lt;版本&gt;</v>
      </c>
    </row>
    <row r="19" spans="2:4" x14ac:dyDescent="0.3">
      <c r="B19" s="17"/>
      <c r="C19" s="17"/>
      <c r="D19" s="17"/>
    </row>
    <row r="38" spans="1:1" x14ac:dyDescent="0.3">
      <c r="A38" s="18"/>
    </row>
  </sheetData>
  <mergeCells count="2">
    <mergeCell ref="C13:J13"/>
    <mergeCell ref="C14:J14"/>
  </mergeCells>
  <phoneticPr fontId="21" type="noConversion"/>
  <pageMargins left="0.75" right="0.75" top="1" bottom="1" header="0.5" footer="0.5"/>
  <pageSetup fitToHeight="9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35"/>
  <sheetViews>
    <sheetView showGridLines="0" zoomScaleNormal="100" workbookViewId="0">
      <selection activeCell="B16" sqref="B16"/>
    </sheetView>
  </sheetViews>
  <sheetFormatPr defaultRowHeight="13.8" x14ac:dyDescent="0.3"/>
  <cols>
    <col min="1" max="1" width="13" style="11" customWidth="1"/>
    <col min="2" max="2" width="33.6640625" style="11" customWidth="1"/>
    <col min="3" max="3" width="34.21875" style="11" customWidth="1"/>
    <col min="4" max="5" width="8.6640625" style="11" customWidth="1"/>
    <col min="6" max="6" width="11.109375" style="11" customWidth="1"/>
    <col min="7" max="7" width="26.77734375" style="11" customWidth="1"/>
    <col min="8" max="256" width="8.88671875" style="11"/>
    <col min="257" max="257" width="13" style="11" customWidth="1"/>
    <col min="258" max="258" width="13.21875" style="11" customWidth="1"/>
    <col min="259" max="259" width="34.21875" style="11" customWidth="1"/>
    <col min="260" max="261" width="8.6640625" style="11" customWidth="1"/>
    <col min="262" max="262" width="11.109375" style="11" customWidth="1"/>
    <col min="263" max="263" width="26.77734375" style="11" customWidth="1"/>
    <col min="264" max="512" width="8.88671875" style="11"/>
    <col min="513" max="513" width="13" style="11" customWidth="1"/>
    <col min="514" max="514" width="13.21875" style="11" customWidth="1"/>
    <col min="515" max="515" width="34.21875" style="11" customWidth="1"/>
    <col min="516" max="517" width="8.6640625" style="11" customWidth="1"/>
    <col min="518" max="518" width="11.109375" style="11" customWidth="1"/>
    <col min="519" max="519" width="26.77734375" style="11" customWidth="1"/>
    <col min="520" max="768" width="8.88671875" style="11"/>
    <col min="769" max="769" width="13" style="11" customWidth="1"/>
    <col min="770" max="770" width="13.21875" style="11" customWidth="1"/>
    <col min="771" max="771" width="34.21875" style="11" customWidth="1"/>
    <col min="772" max="773" width="8.6640625" style="11" customWidth="1"/>
    <col min="774" max="774" width="11.109375" style="11" customWidth="1"/>
    <col min="775" max="775" width="26.77734375" style="11" customWidth="1"/>
    <col min="776" max="1024" width="8.88671875" style="11"/>
    <col min="1025" max="1025" width="13" style="11" customWidth="1"/>
    <col min="1026" max="1026" width="13.21875" style="11" customWidth="1"/>
    <col min="1027" max="1027" width="34.21875" style="11" customWidth="1"/>
    <col min="1028" max="1029" width="8.6640625" style="11" customWidth="1"/>
    <col min="1030" max="1030" width="11.109375" style="11" customWidth="1"/>
    <col min="1031" max="1031" width="26.77734375" style="11" customWidth="1"/>
    <col min="1032" max="1280" width="8.88671875" style="11"/>
    <col min="1281" max="1281" width="13" style="11" customWidth="1"/>
    <col min="1282" max="1282" width="13.21875" style="11" customWidth="1"/>
    <col min="1283" max="1283" width="34.21875" style="11" customWidth="1"/>
    <col min="1284" max="1285" width="8.6640625" style="11" customWidth="1"/>
    <col min="1286" max="1286" width="11.109375" style="11" customWidth="1"/>
    <col min="1287" max="1287" width="26.77734375" style="11" customWidth="1"/>
    <col min="1288" max="1536" width="8.88671875" style="11"/>
    <col min="1537" max="1537" width="13" style="11" customWidth="1"/>
    <col min="1538" max="1538" width="13.21875" style="11" customWidth="1"/>
    <col min="1539" max="1539" width="34.21875" style="11" customWidth="1"/>
    <col min="1540" max="1541" width="8.6640625" style="11" customWidth="1"/>
    <col min="1542" max="1542" width="11.109375" style="11" customWidth="1"/>
    <col min="1543" max="1543" width="26.77734375" style="11" customWidth="1"/>
    <col min="1544" max="1792" width="8.88671875" style="11"/>
    <col min="1793" max="1793" width="13" style="11" customWidth="1"/>
    <col min="1794" max="1794" width="13.21875" style="11" customWidth="1"/>
    <col min="1795" max="1795" width="34.21875" style="11" customWidth="1"/>
    <col min="1796" max="1797" width="8.6640625" style="11" customWidth="1"/>
    <col min="1798" max="1798" width="11.109375" style="11" customWidth="1"/>
    <col min="1799" max="1799" width="26.77734375" style="11" customWidth="1"/>
    <col min="1800" max="2048" width="8.88671875" style="11"/>
    <col min="2049" max="2049" width="13" style="11" customWidth="1"/>
    <col min="2050" max="2050" width="13.21875" style="11" customWidth="1"/>
    <col min="2051" max="2051" width="34.21875" style="11" customWidth="1"/>
    <col min="2052" max="2053" width="8.6640625" style="11" customWidth="1"/>
    <col min="2054" max="2054" width="11.109375" style="11" customWidth="1"/>
    <col min="2055" max="2055" width="26.77734375" style="11" customWidth="1"/>
    <col min="2056" max="2304" width="8.88671875" style="11"/>
    <col min="2305" max="2305" width="13" style="11" customWidth="1"/>
    <col min="2306" max="2306" width="13.21875" style="11" customWidth="1"/>
    <col min="2307" max="2307" width="34.21875" style="11" customWidth="1"/>
    <col min="2308" max="2309" width="8.6640625" style="11" customWidth="1"/>
    <col min="2310" max="2310" width="11.109375" style="11" customWidth="1"/>
    <col min="2311" max="2311" width="26.77734375" style="11" customWidth="1"/>
    <col min="2312" max="2560" width="8.88671875" style="11"/>
    <col min="2561" max="2561" width="13" style="11" customWidth="1"/>
    <col min="2562" max="2562" width="13.21875" style="11" customWidth="1"/>
    <col min="2563" max="2563" width="34.21875" style="11" customWidth="1"/>
    <col min="2564" max="2565" width="8.6640625" style="11" customWidth="1"/>
    <col min="2566" max="2566" width="11.109375" style="11" customWidth="1"/>
    <col min="2567" max="2567" width="26.77734375" style="11" customWidth="1"/>
    <col min="2568" max="2816" width="8.88671875" style="11"/>
    <col min="2817" max="2817" width="13" style="11" customWidth="1"/>
    <col min="2818" max="2818" width="13.21875" style="11" customWidth="1"/>
    <col min="2819" max="2819" width="34.21875" style="11" customWidth="1"/>
    <col min="2820" max="2821" width="8.6640625" style="11" customWidth="1"/>
    <col min="2822" max="2822" width="11.109375" style="11" customWidth="1"/>
    <col min="2823" max="2823" width="26.77734375" style="11" customWidth="1"/>
    <col min="2824" max="3072" width="8.88671875" style="11"/>
    <col min="3073" max="3073" width="13" style="11" customWidth="1"/>
    <col min="3074" max="3074" width="13.21875" style="11" customWidth="1"/>
    <col min="3075" max="3075" width="34.21875" style="11" customWidth="1"/>
    <col min="3076" max="3077" width="8.6640625" style="11" customWidth="1"/>
    <col min="3078" max="3078" width="11.109375" style="11" customWidth="1"/>
    <col min="3079" max="3079" width="26.77734375" style="11" customWidth="1"/>
    <col min="3080" max="3328" width="8.88671875" style="11"/>
    <col min="3329" max="3329" width="13" style="11" customWidth="1"/>
    <col min="3330" max="3330" width="13.21875" style="11" customWidth="1"/>
    <col min="3331" max="3331" width="34.21875" style="11" customWidth="1"/>
    <col min="3332" max="3333" width="8.6640625" style="11" customWidth="1"/>
    <col min="3334" max="3334" width="11.109375" style="11" customWidth="1"/>
    <col min="3335" max="3335" width="26.77734375" style="11" customWidth="1"/>
    <col min="3336" max="3584" width="8.88671875" style="11"/>
    <col min="3585" max="3585" width="13" style="11" customWidth="1"/>
    <col min="3586" max="3586" width="13.21875" style="11" customWidth="1"/>
    <col min="3587" max="3587" width="34.21875" style="11" customWidth="1"/>
    <col min="3588" max="3589" width="8.6640625" style="11" customWidth="1"/>
    <col min="3590" max="3590" width="11.109375" style="11" customWidth="1"/>
    <col min="3591" max="3591" width="26.77734375" style="11" customWidth="1"/>
    <col min="3592" max="3840" width="8.88671875" style="11"/>
    <col min="3841" max="3841" width="13" style="11" customWidth="1"/>
    <col min="3842" max="3842" width="13.21875" style="11" customWidth="1"/>
    <col min="3843" max="3843" width="34.21875" style="11" customWidth="1"/>
    <col min="3844" max="3845" width="8.6640625" style="11" customWidth="1"/>
    <col min="3846" max="3846" width="11.109375" style="11" customWidth="1"/>
    <col min="3847" max="3847" width="26.77734375" style="11" customWidth="1"/>
    <col min="3848" max="4096" width="8.88671875" style="11"/>
    <col min="4097" max="4097" width="13" style="11" customWidth="1"/>
    <col min="4098" max="4098" width="13.21875" style="11" customWidth="1"/>
    <col min="4099" max="4099" width="34.21875" style="11" customWidth="1"/>
    <col min="4100" max="4101" width="8.6640625" style="11" customWidth="1"/>
    <col min="4102" max="4102" width="11.109375" style="11" customWidth="1"/>
    <col min="4103" max="4103" width="26.77734375" style="11" customWidth="1"/>
    <col min="4104" max="4352" width="8.88671875" style="11"/>
    <col min="4353" max="4353" width="13" style="11" customWidth="1"/>
    <col min="4354" max="4354" width="13.21875" style="11" customWidth="1"/>
    <col min="4355" max="4355" width="34.21875" style="11" customWidth="1"/>
    <col min="4356" max="4357" width="8.6640625" style="11" customWidth="1"/>
    <col min="4358" max="4358" width="11.109375" style="11" customWidth="1"/>
    <col min="4359" max="4359" width="26.77734375" style="11" customWidth="1"/>
    <col min="4360" max="4608" width="8.88671875" style="11"/>
    <col min="4609" max="4609" width="13" style="11" customWidth="1"/>
    <col min="4610" max="4610" width="13.21875" style="11" customWidth="1"/>
    <col min="4611" max="4611" width="34.21875" style="11" customWidth="1"/>
    <col min="4612" max="4613" width="8.6640625" style="11" customWidth="1"/>
    <col min="4614" max="4614" width="11.109375" style="11" customWidth="1"/>
    <col min="4615" max="4615" width="26.77734375" style="11" customWidth="1"/>
    <col min="4616" max="4864" width="8.88671875" style="11"/>
    <col min="4865" max="4865" width="13" style="11" customWidth="1"/>
    <col min="4866" max="4866" width="13.21875" style="11" customWidth="1"/>
    <col min="4867" max="4867" width="34.21875" style="11" customWidth="1"/>
    <col min="4868" max="4869" width="8.6640625" style="11" customWidth="1"/>
    <col min="4870" max="4870" width="11.109375" style="11" customWidth="1"/>
    <col min="4871" max="4871" width="26.77734375" style="11" customWidth="1"/>
    <col min="4872" max="5120" width="8.88671875" style="11"/>
    <col min="5121" max="5121" width="13" style="11" customWidth="1"/>
    <col min="5122" max="5122" width="13.21875" style="11" customWidth="1"/>
    <col min="5123" max="5123" width="34.21875" style="11" customWidth="1"/>
    <col min="5124" max="5125" width="8.6640625" style="11" customWidth="1"/>
    <col min="5126" max="5126" width="11.109375" style="11" customWidth="1"/>
    <col min="5127" max="5127" width="26.77734375" style="11" customWidth="1"/>
    <col min="5128" max="5376" width="8.88671875" style="11"/>
    <col min="5377" max="5377" width="13" style="11" customWidth="1"/>
    <col min="5378" max="5378" width="13.21875" style="11" customWidth="1"/>
    <col min="5379" max="5379" width="34.21875" style="11" customWidth="1"/>
    <col min="5380" max="5381" width="8.6640625" style="11" customWidth="1"/>
    <col min="5382" max="5382" width="11.109375" style="11" customWidth="1"/>
    <col min="5383" max="5383" width="26.77734375" style="11" customWidth="1"/>
    <col min="5384" max="5632" width="8.88671875" style="11"/>
    <col min="5633" max="5633" width="13" style="11" customWidth="1"/>
    <col min="5634" max="5634" width="13.21875" style="11" customWidth="1"/>
    <col min="5635" max="5635" width="34.21875" style="11" customWidth="1"/>
    <col min="5636" max="5637" width="8.6640625" style="11" customWidth="1"/>
    <col min="5638" max="5638" width="11.109375" style="11" customWidth="1"/>
    <col min="5639" max="5639" width="26.77734375" style="11" customWidth="1"/>
    <col min="5640" max="5888" width="8.88671875" style="11"/>
    <col min="5889" max="5889" width="13" style="11" customWidth="1"/>
    <col min="5890" max="5890" width="13.21875" style="11" customWidth="1"/>
    <col min="5891" max="5891" width="34.21875" style="11" customWidth="1"/>
    <col min="5892" max="5893" width="8.6640625" style="11" customWidth="1"/>
    <col min="5894" max="5894" width="11.109375" style="11" customWidth="1"/>
    <col min="5895" max="5895" width="26.77734375" style="11" customWidth="1"/>
    <col min="5896" max="6144" width="8.88671875" style="11"/>
    <col min="6145" max="6145" width="13" style="11" customWidth="1"/>
    <col min="6146" max="6146" width="13.21875" style="11" customWidth="1"/>
    <col min="6147" max="6147" width="34.21875" style="11" customWidth="1"/>
    <col min="6148" max="6149" width="8.6640625" style="11" customWidth="1"/>
    <col min="6150" max="6150" width="11.109375" style="11" customWidth="1"/>
    <col min="6151" max="6151" width="26.77734375" style="11" customWidth="1"/>
    <col min="6152" max="6400" width="8.88671875" style="11"/>
    <col min="6401" max="6401" width="13" style="11" customWidth="1"/>
    <col min="6402" max="6402" width="13.21875" style="11" customWidth="1"/>
    <col min="6403" max="6403" width="34.21875" style="11" customWidth="1"/>
    <col min="6404" max="6405" width="8.6640625" style="11" customWidth="1"/>
    <col min="6406" max="6406" width="11.109375" style="11" customWidth="1"/>
    <col min="6407" max="6407" width="26.77734375" style="11" customWidth="1"/>
    <col min="6408" max="6656" width="8.88671875" style="11"/>
    <col min="6657" max="6657" width="13" style="11" customWidth="1"/>
    <col min="6658" max="6658" width="13.21875" style="11" customWidth="1"/>
    <col min="6659" max="6659" width="34.21875" style="11" customWidth="1"/>
    <col min="6660" max="6661" width="8.6640625" style="11" customWidth="1"/>
    <col min="6662" max="6662" width="11.109375" style="11" customWidth="1"/>
    <col min="6663" max="6663" width="26.77734375" style="11" customWidth="1"/>
    <col min="6664" max="6912" width="8.88671875" style="11"/>
    <col min="6913" max="6913" width="13" style="11" customWidth="1"/>
    <col min="6914" max="6914" width="13.21875" style="11" customWidth="1"/>
    <col min="6915" max="6915" width="34.21875" style="11" customWidth="1"/>
    <col min="6916" max="6917" width="8.6640625" style="11" customWidth="1"/>
    <col min="6918" max="6918" width="11.109375" style="11" customWidth="1"/>
    <col min="6919" max="6919" width="26.77734375" style="11" customWidth="1"/>
    <col min="6920" max="7168" width="8.88671875" style="11"/>
    <col min="7169" max="7169" width="13" style="11" customWidth="1"/>
    <col min="7170" max="7170" width="13.21875" style="11" customWidth="1"/>
    <col min="7171" max="7171" width="34.21875" style="11" customWidth="1"/>
    <col min="7172" max="7173" width="8.6640625" style="11" customWidth="1"/>
    <col min="7174" max="7174" width="11.109375" style="11" customWidth="1"/>
    <col min="7175" max="7175" width="26.77734375" style="11" customWidth="1"/>
    <col min="7176" max="7424" width="8.88671875" style="11"/>
    <col min="7425" max="7425" width="13" style="11" customWidth="1"/>
    <col min="7426" max="7426" width="13.21875" style="11" customWidth="1"/>
    <col min="7427" max="7427" width="34.21875" style="11" customWidth="1"/>
    <col min="7428" max="7429" width="8.6640625" style="11" customWidth="1"/>
    <col min="7430" max="7430" width="11.109375" style="11" customWidth="1"/>
    <col min="7431" max="7431" width="26.77734375" style="11" customWidth="1"/>
    <col min="7432" max="7680" width="8.88671875" style="11"/>
    <col min="7681" max="7681" width="13" style="11" customWidth="1"/>
    <col min="7682" max="7682" width="13.21875" style="11" customWidth="1"/>
    <col min="7683" max="7683" width="34.21875" style="11" customWidth="1"/>
    <col min="7684" max="7685" width="8.6640625" style="11" customWidth="1"/>
    <col min="7686" max="7686" width="11.109375" style="11" customWidth="1"/>
    <col min="7687" max="7687" width="26.77734375" style="11" customWidth="1"/>
    <col min="7688" max="7936" width="8.88671875" style="11"/>
    <col min="7937" max="7937" width="13" style="11" customWidth="1"/>
    <col min="7938" max="7938" width="13.21875" style="11" customWidth="1"/>
    <col min="7939" max="7939" width="34.21875" style="11" customWidth="1"/>
    <col min="7940" max="7941" width="8.6640625" style="11" customWidth="1"/>
    <col min="7942" max="7942" width="11.109375" style="11" customWidth="1"/>
    <col min="7943" max="7943" width="26.77734375" style="11" customWidth="1"/>
    <col min="7944" max="8192" width="8.88671875" style="11"/>
    <col min="8193" max="8193" width="13" style="11" customWidth="1"/>
    <col min="8194" max="8194" width="13.21875" style="11" customWidth="1"/>
    <col min="8195" max="8195" width="34.21875" style="11" customWidth="1"/>
    <col min="8196" max="8197" width="8.6640625" style="11" customWidth="1"/>
    <col min="8198" max="8198" width="11.109375" style="11" customWidth="1"/>
    <col min="8199" max="8199" width="26.77734375" style="11" customWidth="1"/>
    <col min="8200" max="8448" width="8.88671875" style="11"/>
    <col min="8449" max="8449" width="13" style="11" customWidth="1"/>
    <col min="8450" max="8450" width="13.21875" style="11" customWidth="1"/>
    <col min="8451" max="8451" width="34.21875" style="11" customWidth="1"/>
    <col min="8452" max="8453" width="8.6640625" style="11" customWidth="1"/>
    <col min="8454" max="8454" width="11.109375" style="11" customWidth="1"/>
    <col min="8455" max="8455" width="26.77734375" style="11" customWidth="1"/>
    <col min="8456" max="8704" width="8.88671875" style="11"/>
    <col min="8705" max="8705" width="13" style="11" customWidth="1"/>
    <col min="8706" max="8706" width="13.21875" style="11" customWidth="1"/>
    <col min="8707" max="8707" width="34.21875" style="11" customWidth="1"/>
    <col min="8708" max="8709" width="8.6640625" style="11" customWidth="1"/>
    <col min="8710" max="8710" width="11.109375" style="11" customWidth="1"/>
    <col min="8711" max="8711" width="26.77734375" style="11" customWidth="1"/>
    <col min="8712" max="8960" width="8.88671875" style="11"/>
    <col min="8961" max="8961" width="13" style="11" customWidth="1"/>
    <col min="8962" max="8962" width="13.21875" style="11" customWidth="1"/>
    <col min="8963" max="8963" width="34.21875" style="11" customWidth="1"/>
    <col min="8964" max="8965" width="8.6640625" style="11" customWidth="1"/>
    <col min="8966" max="8966" width="11.109375" style="11" customWidth="1"/>
    <col min="8967" max="8967" width="26.77734375" style="11" customWidth="1"/>
    <col min="8968" max="9216" width="8.88671875" style="11"/>
    <col min="9217" max="9217" width="13" style="11" customWidth="1"/>
    <col min="9218" max="9218" width="13.21875" style="11" customWidth="1"/>
    <col min="9219" max="9219" width="34.21875" style="11" customWidth="1"/>
    <col min="9220" max="9221" width="8.6640625" style="11" customWidth="1"/>
    <col min="9222" max="9222" width="11.109375" style="11" customWidth="1"/>
    <col min="9223" max="9223" width="26.77734375" style="11" customWidth="1"/>
    <col min="9224" max="9472" width="8.88671875" style="11"/>
    <col min="9473" max="9473" width="13" style="11" customWidth="1"/>
    <col min="9474" max="9474" width="13.21875" style="11" customWidth="1"/>
    <col min="9475" max="9475" width="34.21875" style="11" customWidth="1"/>
    <col min="9476" max="9477" width="8.6640625" style="11" customWidth="1"/>
    <col min="9478" max="9478" width="11.109375" style="11" customWidth="1"/>
    <col min="9479" max="9479" width="26.77734375" style="11" customWidth="1"/>
    <col min="9480" max="9728" width="8.88671875" style="11"/>
    <col min="9729" max="9729" width="13" style="11" customWidth="1"/>
    <col min="9730" max="9730" width="13.21875" style="11" customWidth="1"/>
    <col min="9731" max="9731" width="34.21875" style="11" customWidth="1"/>
    <col min="9732" max="9733" width="8.6640625" style="11" customWidth="1"/>
    <col min="9734" max="9734" width="11.109375" style="11" customWidth="1"/>
    <col min="9735" max="9735" width="26.77734375" style="11" customWidth="1"/>
    <col min="9736" max="9984" width="8.88671875" style="11"/>
    <col min="9985" max="9985" width="13" style="11" customWidth="1"/>
    <col min="9986" max="9986" width="13.21875" style="11" customWidth="1"/>
    <col min="9987" max="9987" width="34.21875" style="11" customWidth="1"/>
    <col min="9988" max="9989" width="8.6640625" style="11" customWidth="1"/>
    <col min="9990" max="9990" width="11.109375" style="11" customWidth="1"/>
    <col min="9991" max="9991" width="26.77734375" style="11" customWidth="1"/>
    <col min="9992" max="10240" width="8.88671875" style="11"/>
    <col min="10241" max="10241" width="13" style="11" customWidth="1"/>
    <col min="10242" max="10242" width="13.21875" style="11" customWidth="1"/>
    <col min="10243" max="10243" width="34.21875" style="11" customWidth="1"/>
    <col min="10244" max="10245" width="8.6640625" style="11" customWidth="1"/>
    <col min="10246" max="10246" width="11.109375" style="11" customWidth="1"/>
    <col min="10247" max="10247" width="26.77734375" style="11" customWidth="1"/>
    <col min="10248" max="10496" width="8.88671875" style="11"/>
    <col min="10497" max="10497" width="13" style="11" customWidth="1"/>
    <col min="10498" max="10498" width="13.21875" style="11" customWidth="1"/>
    <col min="10499" max="10499" width="34.21875" style="11" customWidth="1"/>
    <col min="10500" max="10501" width="8.6640625" style="11" customWidth="1"/>
    <col min="10502" max="10502" width="11.109375" style="11" customWidth="1"/>
    <col min="10503" max="10503" width="26.77734375" style="11" customWidth="1"/>
    <col min="10504" max="10752" width="8.88671875" style="11"/>
    <col min="10753" max="10753" width="13" style="11" customWidth="1"/>
    <col min="10754" max="10754" width="13.21875" style="11" customWidth="1"/>
    <col min="10755" max="10755" width="34.21875" style="11" customWidth="1"/>
    <col min="10756" max="10757" width="8.6640625" style="11" customWidth="1"/>
    <col min="10758" max="10758" width="11.109375" style="11" customWidth="1"/>
    <col min="10759" max="10759" width="26.77734375" style="11" customWidth="1"/>
    <col min="10760" max="11008" width="8.88671875" style="11"/>
    <col min="11009" max="11009" width="13" style="11" customWidth="1"/>
    <col min="11010" max="11010" width="13.21875" style="11" customWidth="1"/>
    <col min="11011" max="11011" width="34.21875" style="11" customWidth="1"/>
    <col min="11012" max="11013" width="8.6640625" style="11" customWidth="1"/>
    <col min="11014" max="11014" width="11.109375" style="11" customWidth="1"/>
    <col min="11015" max="11015" width="26.77734375" style="11" customWidth="1"/>
    <col min="11016" max="11264" width="8.88671875" style="11"/>
    <col min="11265" max="11265" width="13" style="11" customWidth="1"/>
    <col min="11266" max="11266" width="13.21875" style="11" customWidth="1"/>
    <col min="11267" max="11267" width="34.21875" style="11" customWidth="1"/>
    <col min="11268" max="11269" width="8.6640625" style="11" customWidth="1"/>
    <col min="11270" max="11270" width="11.109375" style="11" customWidth="1"/>
    <col min="11271" max="11271" width="26.77734375" style="11" customWidth="1"/>
    <col min="11272" max="11520" width="8.88671875" style="11"/>
    <col min="11521" max="11521" width="13" style="11" customWidth="1"/>
    <col min="11522" max="11522" width="13.21875" style="11" customWidth="1"/>
    <col min="11523" max="11523" width="34.21875" style="11" customWidth="1"/>
    <col min="11524" max="11525" width="8.6640625" style="11" customWidth="1"/>
    <col min="11526" max="11526" width="11.109375" style="11" customWidth="1"/>
    <col min="11527" max="11527" width="26.77734375" style="11" customWidth="1"/>
    <col min="11528" max="11776" width="8.88671875" style="11"/>
    <col min="11777" max="11777" width="13" style="11" customWidth="1"/>
    <col min="11778" max="11778" width="13.21875" style="11" customWidth="1"/>
    <col min="11779" max="11779" width="34.21875" style="11" customWidth="1"/>
    <col min="11780" max="11781" width="8.6640625" style="11" customWidth="1"/>
    <col min="11782" max="11782" width="11.109375" style="11" customWidth="1"/>
    <col min="11783" max="11783" width="26.77734375" style="11" customWidth="1"/>
    <col min="11784" max="12032" width="8.88671875" style="11"/>
    <col min="12033" max="12033" width="13" style="11" customWidth="1"/>
    <col min="12034" max="12034" width="13.21875" style="11" customWidth="1"/>
    <col min="12035" max="12035" width="34.21875" style="11" customWidth="1"/>
    <col min="12036" max="12037" width="8.6640625" style="11" customWidth="1"/>
    <col min="12038" max="12038" width="11.109375" style="11" customWidth="1"/>
    <col min="12039" max="12039" width="26.77734375" style="11" customWidth="1"/>
    <col min="12040" max="12288" width="8.88671875" style="11"/>
    <col min="12289" max="12289" width="13" style="11" customWidth="1"/>
    <col min="12290" max="12290" width="13.21875" style="11" customWidth="1"/>
    <col min="12291" max="12291" width="34.21875" style="11" customWidth="1"/>
    <col min="12292" max="12293" width="8.6640625" style="11" customWidth="1"/>
    <col min="12294" max="12294" width="11.109375" style="11" customWidth="1"/>
    <col min="12295" max="12295" width="26.77734375" style="11" customWidth="1"/>
    <col min="12296" max="12544" width="8.88671875" style="11"/>
    <col min="12545" max="12545" width="13" style="11" customWidth="1"/>
    <col min="12546" max="12546" width="13.21875" style="11" customWidth="1"/>
    <col min="12547" max="12547" width="34.21875" style="11" customWidth="1"/>
    <col min="12548" max="12549" width="8.6640625" style="11" customWidth="1"/>
    <col min="12550" max="12550" width="11.109375" style="11" customWidth="1"/>
    <col min="12551" max="12551" width="26.77734375" style="11" customWidth="1"/>
    <col min="12552" max="12800" width="8.88671875" style="11"/>
    <col min="12801" max="12801" width="13" style="11" customWidth="1"/>
    <col min="12802" max="12802" width="13.21875" style="11" customWidth="1"/>
    <col min="12803" max="12803" width="34.21875" style="11" customWidth="1"/>
    <col min="12804" max="12805" width="8.6640625" style="11" customWidth="1"/>
    <col min="12806" max="12806" width="11.109375" style="11" customWidth="1"/>
    <col min="12807" max="12807" width="26.77734375" style="11" customWidth="1"/>
    <col min="12808" max="13056" width="8.88671875" style="11"/>
    <col min="13057" max="13057" width="13" style="11" customWidth="1"/>
    <col min="13058" max="13058" width="13.21875" style="11" customWidth="1"/>
    <col min="13059" max="13059" width="34.21875" style="11" customWidth="1"/>
    <col min="13060" max="13061" width="8.6640625" style="11" customWidth="1"/>
    <col min="13062" max="13062" width="11.109375" style="11" customWidth="1"/>
    <col min="13063" max="13063" width="26.77734375" style="11" customWidth="1"/>
    <col min="13064" max="13312" width="8.88671875" style="11"/>
    <col min="13313" max="13313" width="13" style="11" customWidth="1"/>
    <col min="13314" max="13314" width="13.21875" style="11" customWidth="1"/>
    <col min="13315" max="13315" width="34.21875" style="11" customWidth="1"/>
    <col min="13316" max="13317" width="8.6640625" style="11" customWidth="1"/>
    <col min="13318" max="13318" width="11.109375" style="11" customWidth="1"/>
    <col min="13319" max="13319" width="26.77734375" style="11" customWidth="1"/>
    <col min="13320" max="13568" width="8.88671875" style="11"/>
    <col min="13569" max="13569" width="13" style="11" customWidth="1"/>
    <col min="13570" max="13570" width="13.21875" style="11" customWidth="1"/>
    <col min="13571" max="13571" width="34.21875" style="11" customWidth="1"/>
    <col min="13572" max="13573" width="8.6640625" style="11" customWidth="1"/>
    <col min="13574" max="13574" width="11.109375" style="11" customWidth="1"/>
    <col min="13575" max="13575" width="26.77734375" style="11" customWidth="1"/>
    <col min="13576" max="13824" width="8.88671875" style="11"/>
    <col min="13825" max="13825" width="13" style="11" customWidth="1"/>
    <col min="13826" max="13826" width="13.21875" style="11" customWidth="1"/>
    <col min="13827" max="13827" width="34.21875" style="11" customWidth="1"/>
    <col min="13828" max="13829" width="8.6640625" style="11" customWidth="1"/>
    <col min="13830" max="13830" width="11.109375" style="11" customWidth="1"/>
    <col min="13831" max="13831" width="26.77734375" style="11" customWidth="1"/>
    <col min="13832" max="14080" width="8.88671875" style="11"/>
    <col min="14081" max="14081" width="13" style="11" customWidth="1"/>
    <col min="14082" max="14082" width="13.21875" style="11" customWidth="1"/>
    <col min="14083" max="14083" width="34.21875" style="11" customWidth="1"/>
    <col min="14084" max="14085" width="8.6640625" style="11" customWidth="1"/>
    <col min="14086" max="14086" width="11.109375" style="11" customWidth="1"/>
    <col min="14087" max="14087" width="26.77734375" style="11" customWidth="1"/>
    <col min="14088" max="14336" width="8.88671875" style="11"/>
    <col min="14337" max="14337" width="13" style="11" customWidth="1"/>
    <col min="14338" max="14338" width="13.21875" style="11" customWidth="1"/>
    <col min="14339" max="14339" width="34.21875" style="11" customWidth="1"/>
    <col min="14340" max="14341" width="8.6640625" style="11" customWidth="1"/>
    <col min="14342" max="14342" width="11.109375" style="11" customWidth="1"/>
    <col min="14343" max="14343" width="26.77734375" style="11" customWidth="1"/>
    <col min="14344" max="14592" width="8.88671875" style="11"/>
    <col min="14593" max="14593" width="13" style="11" customWidth="1"/>
    <col min="14594" max="14594" width="13.21875" style="11" customWidth="1"/>
    <col min="14595" max="14595" width="34.21875" style="11" customWidth="1"/>
    <col min="14596" max="14597" width="8.6640625" style="11" customWidth="1"/>
    <col min="14598" max="14598" width="11.109375" style="11" customWidth="1"/>
    <col min="14599" max="14599" width="26.77734375" style="11" customWidth="1"/>
    <col min="14600" max="14848" width="8.88671875" style="11"/>
    <col min="14849" max="14849" width="13" style="11" customWidth="1"/>
    <col min="14850" max="14850" width="13.21875" style="11" customWidth="1"/>
    <col min="14851" max="14851" width="34.21875" style="11" customWidth="1"/>
    <col min="14852" max="14853" width="8.6640625" style="11" customWidth="1"/>
    <col min="14854" max="14854" width="11.109375" style="11" customWidth="1"/>
    <col min="14855" max="14855" width="26.77734375" style="11" customWidth="1"/>
    <col min="14856" max="15104" width="8.88671875" style="11"/>
    <col min="15105" max="15105" width="13" style="11" customWidth="1"/>
    <col min="15106" max="15106" width="13.21875" style="11" customWidth="1"/>
    <col min="15107" max="15107" width="34.21875" style="11" customWidth="1"/>
    <col min="15108" max="15109" width="8.6640625" style="11" customWidth="1"/>
    <col min="15110" max="15110" width="11.109375" style="11" customWidth="1"/>
    <col min="15111" max="15111" width="26.77734375" style="11" customWidth="1"/>
    <col min="15112" max="15360" width="8.88671875" style="11"/>
    <col min="15361" max="15361" width="13" style="11" customWidth="1"/>
    <col min="15362" max="15362" width="13.21875" style="11" customWidth="1"/>
    <col min="15363" max="15363" width="34.21875" style="11" customWidth="1"/>
    <col min="15364" max="15365" width="8.6640625" style="11" customWidth="1"/>
    <col min="15366" max="15366" width="11.109375" style="11" customWidth="1"/>
    <col min="15367" max="15367" width="26.77734375" style="11" customWidth="1"/>
    <col min="15368" max="15616" width="8.88671875" style="11"/>
    <col min="15617" max="15617" width="13" style="11" customWidth="1"/>
    <col min="15618" max="15618" width="13.21875" style="11" customWidth="1"/>
    <col min="15619" max="15619" width="34.21875" style="11" customWidth="1"/>
    <col min="15620" max="15621" width="8.6640625" style="11" customWidth="1"/>
    <col min="15622" max="15622" width="11.109375" style="11" customWidth="1"/>
    <col min="15623" max="15623" width="26.77734375" style="11" customWidth="1"/>
    <col min="15624" max="15872" width="8.88671875" style="11"/>
    <col min="15873" max="15873" width="13" style="11" customWidth="1"/>
    <col min="15874" max="15874" width="13.21875" style="11" customWidth="1"/>
    <col min="15875" max="15875" width="34.21875" style="11" customWidth="1"/>
    <col min="15876" max="15877" width="8.6640625" style="11" customWidth="1"/>
    <col min="15878" max="15878" width="11.109375" style="11" customWidth="1"/>
    <col min="15879" max="15879" width="26.77734375" style="11" customWidth="1"/>
    <col min="15880" max="16128" width="8.88671875" style="11"/>
    <col min="16129" max="16129" width="13" style="11" customWidth="1"/>
    <col min="16130" max="16130" width="13.21875" style="11" customWidth="1"/>
    <col min="16131" max="16131" width="34.21875" style="11" customWidth="1"/>
    <col min="16132" max="16133" width="8.6640625" style="11" customWidth="1"/>
    <col min="16134" max="16134" width="11.109375" style="11" customWidth="1"/>
    <col min="16135" max="16135" width="26.77734375" style="11" customWidth="1"/>
    <col min="16136" max="16384" width="8.88671875" style="11"/>
  </cols>
  <sheetData>
    <row r="2" spans="1:11" s="19" customFormat="1" ht="19.5" customHeight="1" x14ac:dyDescent="0.3">
      <c r="A2" s="82" t="s">
        <v>380</v>
      </c>
      <c r="B2" s="82"/>
      <c r="C2" s="82"/>
      <c r="D2" s="82"/>
      <c r="E2" s="82"/>
      <c r="F2" s="82"/>
      <c r="G2" s="82"/>
    </row>
    <row r="3" spans="1:11" s="19" customFormat="1" ht="25.5" customHeight="1" x14ac:dyDescent="0.3">
      <c r="A3" s="20" t="s">
        <v>381</v>
      </c>
      <c r="B3" s="21"/>
      <c r="C3" s="21"/>
      <c r="D3" s="21"/>
      <c r="E3" s="21"/>
      <c r="F3" s="21"/>
      <c r="G3" s="21"/>
    </row>
    <row r="4" spans="1:11" ht="16.5" customHeight="1" x14ac:dyDescent="0.3">
      <c r="A4" s="83" t="s">
        <v>382</v>
      </c>
      <c r="B4" s="84"/>
      <c r="C4" s="22" t="s">
        <v>383</v>
      </c>
      <c r="D4" s="23"/>
      <c r="E4" s="24"/>
      <c r="F4" s="25"/>
      <c r="G4" s="25"/>
      <c r="H4" s="25"/>
    </row>
    <row r="5" spans="1:11" ht="16.5" customHeight="1" x14ac:dyDescent="0.3">
      <c r="A5" s="83" t="s">
        <v>384</v>
      </c>
      <c r="B5" s="84"/>
      <c r="C5" s="46" t="s">
        <v>418</v>
      </c>
      <c r="D5" s="23"/>
      <c r="E5" s="24"/>
      <c r="F5" s="25"/>
      <c r="G5" s="25"/>
      <c r="H5" s="25"/>
    </row>
    <row r="6" spans="1:11" ht="16.5" customHeight="1" x14ac:dyDescent="0.3">
      <c r="A6" s="83" t="s">
        <v>385</v>
      </c>
      <c r="B6" s="84"/>
      <c r="C6" s="22" t="s">
        <v>386</v>
      </c>
      <c r="D6" s="23"/>
      <c r="E6" s="24"/>
      <c r="F6" s="25"/>
      <c r="G6" s="25"/>
      <c r="H6" s="25"/>
    </row>
    <row r="7" spans="1:11" ht="16.5" customHeight="1" x14ac:dyDescent="0.3">
      <c r="A7" s="83" t="s">
        <v>387</v>
      </c>
      <c r="B7" s="84"/>
      <c r="C7" s="22" t="s">
        <v>388</v>
      </c>
      <c r="D7" s="23"/>
      <c r="E7" s="24"/>
      <c r="F7" s="25"/>
      <c r="G7" s="25"/>
      <c r="H7" s="25"/>
    </row>
    <row r="8" spans="1:11" ht="16.5" customHeight="1" x14ac:dyDescent="0.3">
      <c r="A8" s="83" t="s">
        <v>389</v>
      </c>
      <c r="B8" s="84"/>
      <c r="C8" s="22" t="s">
        <v>390</v>
      </c>
      <c r="D8" s="23"/>
      <c r="E8" s="24"/>
      <c r="F8" s="25"/>
      <c r="G8" s="25"/>
      <c r="H8" s="25"/>
    </row>
    <row r="9" spans="1:11" ht="16.5" customHeight="1" x14ac:dyDescent="0.3">
      <c r="A9" s="83" t="s">
        <v>391</v>
      </c>
      <c r="B9" s="84"/>
      <c r="C9" s="22" t="s">
        <v>392</v>
      </c>
      <c r="D9" s="23"/>
      <c r="E9" s="24"/>
      <c r="F9" s="25"/>
      <c r="G9" s="26"/>
      <c r="H9" s="25"/>
    </row>
    <row r="10" spans="1:11" ht="16.5" customHeight="1" x14ac:dyDescent="0.3">
      <c r="A10" s="83" t="s">
        <v>393</v>
      </c>
      <c r="B10" s="84"/>
      <c r="C10" s="22"/>
      <c r="D10" s="23"/>
      <c r="E10" s="24"/>
      <c r="F10" s="25"/>
      <c r="G10" s="25"/>
      <c r="H10" s="25"/>
    </row>
    <row r="11" spans="1:11" s="27" customFormat="1" ht="21" customHeight="1" x14ac:dyDescent="0.3">
      <c r="A11" s="85" t="s">
        <v>394</v>
      </c>
      <c r="B11" s="85"/>
      <c r="C11" s="85"/>
      <c r="D11" s="85"/>
      <c r="E11" s="85"/>
      <c r="F11" s="85"/>
    </row>
    <row r="12" spans="1:11" ht="18.75" customHeight="1" x14ac:dyDescent="0.3">
      <c r="A12" s="28" t="s">
        <v>395</v>
      </c>
      <c r="B12" s="29" t="s">
        <v>396</v>
      </c>
      <c r="C12" s="86" t="s">
        <v>397</v>
      </c>
      <c r="D12" s="86"/>
      <c r="E12" s="86"/>
      <c r="F12" s="86" t="s">
        <v>398</v>
      </c>
      <c r="G12" s="87"/>
      <c r="K12" s="30"/>
    </row>
    <row r="13" spans="1:11" ht="12.75" customHeight="1" x14ac:dyDescent="0.3">
      <c r="A13" s="31" t="s">
        <v>399</v>
      </c>
      <c r="B13" s="31" t="s">
        <v>400</v>
      </c>
      <c r="C13" s="77" t="s">
        <v>401</v>
      </c>
      <c r="D13" s="78"/>
      <c r="E13" s="79"/>
      <c r="F13" s="80" t="s">
        <v>402</v>
      </c>
      <c r="G13" s="81"/>
      <c r="K13" s="32"/>
    </row>
    <row r="14" spans="1:11" x14ac:dyDescent="0.3">
      <c r="A14" s="31"/>
      <c r="B14" s="33"/>
      <c r="C14" s="88"/>
      <c r="D14" s="88"/>
      <c r="E14" s="88"/>
      <c r="F14" s="89"/>
      <c r="G14" s="89"/>
    </row>
    <row r="15" spans="1:11" x14ac:dyDescent="0.3">
      <c r="A15" s="31"/>
      <c r="B15" s="33"/>
      <c r="C15" s="88"/>
      <c r="D15" s="88"/>
      <c r="E15" s="88"/>
      <c r="F15" s="89"/>
      <c r="G15" s="89"/>
    </row>
    <row r="16" spans="1:11" x14ac:dyDescent="0.3">
      <c r="A16" s="31"/>
      <c r="B16" s="33"/>
      <c r="C16" s="88"/>
      <c r="D16" s="88"/>
      <c r="E16" s="88"/>
      <c r="F16" s="89"/>
      <c r="G16" s="89"/>
    </row>
    <row r="17" spans="1:10" x14ac:dyDescent="0.3">
      <c r="A17" s="31"/>
      <c r="B17" s="33"/>
      <c r="C17" s="88"/>
      <c r="D17" s="88"/>
      <c r="E17" s="88"/>
      <c r="F17" s="89"/>
      <c r="G17" s="89"/>
    </row>
    <row r="18" spans="1:10" x14ac:dyDescent="0.3">
      <c r="A18" s="31"/>
      <c r="B18" s="33"/>
      <c r="C18" s="88"/>
      <c r="D18" s="88"/>
      <c r="E18" s="88"/>
      <c r="F18" s="89"/>
      <c r="G18" s="89"/>
    </row>
    <row r="19" spans="1:10" s="27" customFormat="1" ht="23.25" customHeight="1" x14ac:dyDescent="0.3">
      <c r="A19" s="85" t="s">
        <v>403</v>
      </c>
      <c r="B19" s="85"/>
      <c r="C19" s="85"/>
      <c r="D19" s="85"/>
      <c r="E19" s="85"/>
      <c r="F19" s="85"/>
    </row>
    <row r="20" spans="1:10" ht="16.5" customHeight="1" x14ac:dyDescent="0.3">
      <c r="A20" s="28" t="s">
        <v>396</v>
      </c>
      <c r="B20" s="86" t="s">
        <v>404</v>
      </c>
      <c r="C20" s="86"/>
      <c r="D20" s="86" t="s">
        <v>405</v>
      </c>
      <c r="E20" s="86"/>
      <c r="F20" s="86"/>
      <c r="G20" s="34" t="s">
        <v>406</v>
      </c>
    </row>
    <row r="21" spans="1:10" x14ac:dyDescent="0.3">
      <c r="A21" s="31" t="s">
        <v>400</v>
      </c>
      <c r="B21" s="90" t="s">
        <v>402</v>
      </c>
      <c r="C21" s="90"/>
      <c r="D21" s="88" t="s">
        <v>407</v>
      </c>
      <c r="E21" s="88"/>
      <c r="F21" s="88"/>
      <c r="G21" s="35" t="s">
        <v>408</v>
      </c>
    </row>
    <row r="22" spans="1:10" x14ac:dyDescent="0.3">
      <c r="A22" s="36"/>
      <c r="B22" s="91"/>
      <c r="C22" s="91"/>
      <c r="D22" s="92"/>
      <c r="E22" s="92"/>
      <c r="F22" s="92"/>
      <c r="G22" s="37"/>
    </row>
    <row r="23" spans="1:10" x14ac:dyDescent="0.3">
      <c r="A23" s="36"/>
      <c r="B23" s="91"/>
      <c r="C23" s="91"/>
      <c r="D23" s="92"/>
      <c r="E23" s="92"/>
      <c r="F23" s="92"/>
      <c r="G23" s="37"/>
    </row>
    <row r="24" spans="1:10" x14ac:dyDescent="0.3">
      <c r="A24" s="36"/>
      <c r="B24" s="91"/>
      <c r="C24" s="91"/>
      <c r="D24" s="93"/>
      <c r="E24" s="94"/>
      <c r="F24" s="95"/>
      <c r="G24" s="37"/>
    </row>
    <row r="25" spans="1:10" x14ac:dyDescent="0.3">
      <c r="A25" s="36"/>
      <c r="B25" s="91"/>
      <c r="C25" s="91"/>
      <c r="D25" s="92"/>
      <c r="E25" s="92"/>
      <c r="F25" s="92"/>
      <c r="G25" s="37"/>
    </row>
    <row r="26" spans="1:10" x14ac:dyDescent="0.3">
      <c r="A26" s="36"/>
      <c r="B26" s="91"/>
      <c r="C26" s="91"/>
      <c r="D26" s="92"/>
      <c r="E26" s="92"/>
      <c r="F26" s="92"/>
      <c r="G26" s="37"/>
    </row>
    <row r="27" spans="1:10" x14ac:dyDescent="0.3">
      <c r="A27" s="35"/>
      <c r="B27" s="90"/>
      <c r="C27" s="90"/>
      <c r="D27" s="89"/>
      <c r="E27" s="89"/>
      <c r="F27" s="89"/>
      <c r="G27" s="35"/>
    </row>
    <row r="29" spans="1:10" ht="18" x14ac:dyDescent="0.3">
      <c r="A29" s="102" t="s">
        <v>409</v>
      </c>
      <c r="B29" s="102"/>
      <c r="C29" s="102"/>
      <c r="D29" s="102"/>
      <c r="E29" s="102"/>
      <c r="F29" s="102"/>
      <c r="G29" s="102"/>
    </row>
    <row r="30" spans="1:10" s="41" customFormat="1" ht="15.6" x14ac:dyDescent="0.3">
      <c r="A30" s="85" t="s">
        <v>410</v>
      </c>
      <c r="B30" s="85"/>
      <c r="C30" s="85"/>
      <c r="D30" s="85"/>
      <c r="E30" s="85"/>
      <c r="F30" s="85"/>
      <c r="G30" s="38"/>
      <c r="H30" s="39"/>
      <c r="I30" s="39"/>
      <c r="J30" s="40"/>
    </row>
    <row r="31" spans="1:10" s="41" customFormat="1" ht="26.7" customHeight="1" x14ac:dyDescent="0.3">
      <c r="A31" s="103" t="s">
        <v>411</v>
      </c>
      <c r="B31" s="104"/>
      <c r="C31" s="104"/>
      <c r="D31" s="104"/>
      <c r="E31" s="104"/>
      <c r="F31" s="104"/>
      <c r="G31" s="105"/>
      <c r="H31" s="42"/>
      <c r="I31" s="42"/>
      <c r="J31" s="42"/>
    </row>
    <row r="32" spans="1:10" s="41" customFormat="1" x14ac:dyDescent="0.3">
      <c r="A32" s="43"/>
    </row>
    <row r="33" spans="1:7" s="41" customFormat="1" ht="16.5" customHeight="1" x14ac:dyDescent="0.3">
      <c r="A33" s="85" t="s">
        <v>412</v>
      </c>
      <c r="B33" s="85"/>
      <c r="C33" s="85"/>
      <c r="D33" s="85"/>
      <c r="E33" s="85"/>
      <c r="F33" s="85"/>
      <c r="G33" s="38"/>
    </row>
    <row r="34" spans="1:7" s="41" customFormat="1" x14ac:dyDescent="0.3">
      <c r="A34" s="44" t="s">
        <v>413</v>
      </c>
      <c r="B34" s="44" t="s">
        <v>414</v>
      </c>
      <c r="C34" s="96" t="s">
        <v>415</v>
      </c>
      <c r="D34" s="97"/>
      <c r="E34" s="97"/>
      <c r="F34" s="97"/>
      <c r="G34" s="98"/>
    </row>
    <row r="35" spans="1:7" s="41" customFormat="1" ht="46.5" customHeight="1" x14ac:dyDescent="0.3">
      <c r="A35" s="45" t="s">
        <v>416</v>
      </c>
      <c r="B35" s="47" t="s">
        <v>419</v>
      </c>
      <c r="C35" s="99" t="s">
        <v>417</v>
      </c>
      <c r="D35" s="100"/>
      <c r="E35" s="100"/>
      <c r="F35" s="100"/>
      <c r="G35" s="101"/>
    </row>
  </sheetData>
  <mergeCells count="46">
    <mergeCell ref="C34:G34"/>
    <mergeCell ref="C35:G35"/>
    <mergeCell ref="B27:C27"/>
    <mergeCell ref="D27:F27"/>
    <mergeCell ref="A29:G29"/>
    <mergeCell ref="A30:F30"/>
    <mergeCell ref="A31:G31"/>
    <mergeCell ref="A33:F33"/>
    <mergeCell ref="B24:C24"/>
    <mergeCell ref="D24:F24"/>
    <mergeCell ref="B25:C25"/>
    <mergeCell ref="D25:F25"/>
    <mergeCell ref="B26:C26"/>
    <mergeCell ref="D26:F26"/>
    <mergeCell ref="B21:C21"/>
    <mergeCell ref="D21:F21"/>
    <mergeCell ref="B22:C22"/>
    <mergeCell ref="D22:F22"/>
    <mergeCell ref="B23:C23"/>
    <mergeCell ref="D23:F23"/>
    <mergeCell ref="B20:C20"/>
    <mergeCell ref="D20:F20"/>
    <mergeCell ref="C14:E14"/>
    <mergeCell ref="F14:G14"/>
    <mergeCell ref="C15:E15"/>
    <mergeCell ref="F15:G15"/>
    <mergeCell ref="C16:E16"/>
    <mergeCell ref="F16:G16"/>
    <mergeCell ref="C17:E17"/>
    <mergeCell ref="F17:G17"/>
    <mergeCell ref="C18:E18"/>
    <mergeCell ref="F18:G18"/>
    <mergeCell ref="A19:F19"/>
    <mergeCell ref="C13:E13"/>
    <mergeCell ref="F13:G13"/>
    <mergeCell ref="A2:G2"/>
    <mergeCell ref="A4:B4"/>
    <mergeCell ref="A5:B5"/>
    <mergeCell ref="A6:B6"/>
    <mergeCell ref="A7:B7"/>
    <mergeCell ref="A8:B8"/>
    <mergeCell ref="A9:B9"/>
    <mergeCell ref="A10:B10"/>
    <mergeCell ref="A11:F11"/>
    <mergeCell ref="C12:E12"/>
    <mergeCell ref="F12:G12"/>
  </mergeCells>
  <phoneticPr fontId="21" type="noConversion"/>
  <pageMargins left="0.75" right="0.75" top="1" bottom="1" header="0.5" footer="0.5"/>
  <pageSetup fitToHeight="9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A1:AK75"/>
  <sheetViews>
    <sheetView tabSelected="1" zoomScale="80" zoomScaleNormal="80" workbookViewId="0">
      <pane xSplit="4" ySplit="2" topLeftCell="O15" activePane="bottomRight" state="frozen"/>
      <selection activeCell="D21" sqref="D21"/>
      <selection pane="topRight" activeCell="D21" sqref="D21"/>
      <selection pane="bottomLeft" activeCell="D21" sqref="D21"/>
      <selection pane="bottomRight" activeCell="T18" sqref="T18"/>
    </sheetView>
  </sheetViews>
  <sheetFormatPr defaultColWidth="9" defaultRowHeight="16.2" x14ac:dyDescent="0.3"/>
  <cols>
    <col min="1" max="1" width="5" style="2" customWidth="1"/>
    <col min="2" max="2" width="6.109375" style="2" customWidth="1"/>
    <col min="3" max="3" width="6.88671875" style="2" customWidth="1"/>
    <col min="4" max="4" width="12.44140625" style="3" customWidth="1"/>
    <col min="5" max="5" width="5.77734375" style="4" customWidth="1"/>
    <col min="6" max="6" width="5.77734375" style="5" customWidth="1"/>
    <col min="7" max="9" width="5.77734375" style="3" customWidth="1"/>
    <col min="10" max="10" width="12.33203125" style="3" bestFit="1" customWidth="1"/>
    <col min="11" max="11" width="25.88671875" style="4" customWidth="1"/>
    <col min="12" max="12" width="9" style="6"/>
    <col min="13" max="13" width="33.109375" style="6" customWidth="1"/>
    <col min="14" max="17" width="9" style="6"/>
    <col min="18" max="18" width="83.88671875" style="6" customWidth="1"/>
    <col min="19" max="19" width="20.44140625" style="6" customWidth="1"/>
    <col min="20" max="20" width="16" style="6" customWidth="1"/>
    <col min="21" max="21" width="9" style="6"/>
    <col min="22" max="22" width="24.21875" style="6" customWidth="1"/>
    <col min="23" max="23" width="18.44140625" style="6" customWidth="1"/>
    <col min="24" max="25" width="13.44140625" style="6" customWidth="1"/>
    <col min="26" max="26" width="28.21875" style="6" customWidth="1"/>
    <col min="27" max="27" width="15.6640625" style="6" customWidth="1"/>
    <col min="28" max="16384" width="9" style="6"/>
  </cols>
  <sheetData>
    <row r="1" spans="1:37" s="1" customFormat="1" x14ac:dyDescent="0.3">
      <c r="A1" s="108" t="s">
        <v>104</v>
      </c>
      <c r="B1" s="108"/>
      <c r="C1" s="108"/>
      <c r="D1" s="108"/>
      <c r="E1" s="109" t="s">
        <v>116</v>
      </c>
      <c r="F1" s="109"/>
      <c r="G1" s="109"/>
      <c r="H1" s="109"/>
      <c r="I1" s="109"/>
      <c r="J1" s="109"/>
      <c r="K1" s="110" t="s">
        <v>92</v>
      </c>
      <c r="L1" s="110"/>
      <c r="M1" s="110"/>
      <c r="N1" s="110"/>
      <c r="O1" s="110"/>
      <c r="P1" s="107" t="s">
        <v>356</v>
      </c>
      <c r="Q1" s="107"/>
      <c r="R1" s="107"/>
      <c r="S1" s="107"/>
      <c r="T1" s="107"/>
      <c r="U1" s="107"/>
      <c r="V1" s="107"/>
      <c r="W1" s="107"/>
      <c r="X1" s="107"/>
      <c r="Y1" s="107"/>
      <c r="Z1" s="107"/>
      <c r="AA1" s="107"/>
      <c r="AB1" s="106" t="s">
        <v>350</v>
      </c>
      <c r="AC1" s="106"/>
      <c r="AD1" s="106"/>
      <c r="AE1" s="106"/>
      <c r="AF1" s="106"/>
      <c r="AG1" s="106" t="s">
        <v>351</v>
      </c>
      <c r="AH1" s="106"/>
      <c r="AI1" s="106"/>
      <c r="AJ1" s="106"/>
      <c r="AK1" s="106"/>
    </row>
    <row r="2" spans="1:37" s="1" customFormat="1" ht="36.6" customHeight="1" x14ac:dyDescent="0.3">
      <c r="A2" s="63" t="s">
        <v>105</v>
      </c>
      <c r="B2" s="63" t="s">
        <v>77</v>
      </c>
      <c r="C2" s="63" t="s">
        <v>78</v>
      </c>
      <c r="D2" s="63" t="s">
        <v>106</v>
      </c>
      <c r="E2" s="64" t="s">
        <v>246</v>
      </c>
      <c r="F2" s="64" t="s">
        <v>420</v>
      </c>
      <c r="G2" s="64" t="s">
        <v>421</v>
      </c>
      <c r="H2" s="64" t="s">
        <v>247</v>
      </c>
      <c r="I2" s="64" t="s">
        <v>248</v>
      </c>
      <c r="J2" s="64" t="s">
        <v>117</v>
      </c>
      <c r="K2" s="65" t="s">
        <v>2</v>
      </c>
      <c r="L2" s="65" t="s">
        <v>93</v>
      </c>
      <c r="M2" s="65" t="s">
        <v>79</v>
      </c>
      <c r="N2" s="65" t="s">
        <v>249</v>
      </c>
      <c r="O2" s="65" t="s">
        <v>250</v>
      </c>
      <c r="P2" s="48" t="s">
        <v>118</v>
      </c>
      <c r="Q2" s="49" t="s">
        <v>107</v>
      </c>
      <c r="R2" s="50" t="s">
        <v>108</v>
      </c>
      <c r="S2" s="49" t="s">
        <v>119</v>
      </c>
      <c r="T2" s="49" t="s">
        <v>120</v>
      </c>
      <c r="U2" s="49" t="s">
        <v>242</v>
      </c>
      <c r="V2" s="49" t="s">
        <v>121</v>
      </c>
      <c r="W2" s="49" t="s">
        <v>236</v>
      </c>
      <c r="X2" s="49" t="s">
        <v>122</v>
      </c>
      <c r="Y2" s="49" t="s">
        <v>123</v>
      </c>
      <c r="Z2" s="49" t="s">
        <v>124</v>
      </c>
      <c r="AA2" s="49" t="s">
        <v>125</v>
      </c>
      <c r="AB2" s="51" t="s">
        <v>352</v>
      </c>
      <c r="AC2" s="51" t="s">
        <v>353</v>
      </c>
      <c r="AD2" s="51" t="s">
        <v>354</v>
      </c>
      <c r="AE2" s="51" t="s">
        <v>355</v>
      </c>
      <c r="AF2" s="51" t="s">
        <v>263</v>
      </c>
      <c r="AG2" s="51" t="s">
        <v>352</v>
      </c>
      <c r="AH2" s="51" t="s">
        <v>353</v>
      </c>
      <c r="AI2" s="51" t="s">
        <v>354</v>
      </c>
      <c r="AJ2" s="51" t="s">
        <v>355</v>
      </c>
      <c r="AK2" s="51" t="s">
        <v>263</v>
      </c>
    </row>
    <row r="3" spans="1:37" ht="133.19999999999999" customHeight="1" x14ac:dyDescent="0.3">
      <c r="A3" s="52" t="s">
        <v>0</v>
      </c>
      <c r="B3" s="52" t="s">
        <v>38</v>
      </c>
      <c r="C3" s="52" t="s">
        <v>276</v>
      </c>
      <c r="D3" s="53" t="s">
        <v>94</v>
      </c>
      <c r="E3" s="53" t="s">
        <v>126</v>
      </c>
      <c r="F3" s="53" t="s">
        <v>127</v>
      </c>
      <c r="G3" s="53" t="s">
        <v>128</v>
      </c>
      <c r="H3" s="53" t="s">
        <v>129</v>
      </c>
      <c r="I3" s="53" t="s">
        <v>130</v>
      </c>
      <c r="J3" s="53" t="s">
        <v>131</v>
      </c>
      <c r="K3" s="53" t="s">
        <v>39</v>
      </c>
      <c r="L3" s="53" t="s">
        <v>277</v>
      </c>
      <c r="M3" s="53" t="s">
        <v>113</v>
      </c>
      <c r="N3" s="53" t="s">
        <v>3</v>
      </c>
      <c r="O3" s="53" t="s">
        <v>4</v>
      </c>
      <c r="P3" s="53" t="s">
        <v>251</v>
      </c>
      <c r="Q3" s="53" t="s">
        <v>237</v>
      </c>
      <c r="R3" s="53" t="s">
        <v>512</v>
      </c>
      <c r="S3" s="53" t="s">
        <v>422</v>
      </c>
      <c r="T3" s="54" t="s">
        <v>1</v>
      </c>
      <c r="U3" s="53" t="s">
        <v>1</v>
      </c>
      <c r="V3" s="53" t="s">
        <v>360</v>
      </c>
      <c r="W3" s="53" t="s">
        <v>423</v>
      </c>
      <c r="X3" s="53" t="s">
        <v>275</v>
      </c>
      <c r="Y3" s="53" t="s">
        <v>1</v>
      </c>
      <c r="Z3" s="53" t="s">
        <v>1</v>
      </c>
      <c r="AA3" s="53" t="s">
        <v>1</v>
      </c>
      <c r="AB3" s="53"/>
      <c r="AC3" s="53"/>
      <c r="AD3" s="53"/>
      <c r="AE3" s="53"/>
      <c r="AF3" s="53"/>
      <c r="AG3" s="53"/>
      <c r="AH3" s="53"/>
      <c r="AI3" s="53"/>
      <c r="AJ3" s="53"/>
      <c r="AK3" s="53"/>
    </row>
    <row r="4" spans="1:37" ht="133.19999999999999" customHeight="1" x14ac:dyDescent="0.3">
      <c r="A4" s="52" t="s">
        <v>0</v>
      </c>
      <c r="B4" s="52" t="s">
        <v>38</v>
      </c>
      <c r="C4" s="52" t="s">
        <v>276</v>
      </c>
      <c r="D4" s="53" t="s">
        <v>94</v>
      </c>
      <c r="E4" s="53" t="s">
        <v>126</v>
      </c>
      <c r="F4" s="53" t="s">
        <v>133</v>
      </c>
      <c r="G4" s="53" t="s">
        <v>134</v>
      </c>
      <c r="H4" s="53" t="s">
        <v>135</v>
      </c>
      <c r="I4" s="53" t="s">
        <v>130</v>
      </c>
      <c r="J4" s="53" t="s">
        <v>131</v>
      </c>
      <c r="K4" s="53" t="s">
        <v>39</v>
      </c>
      <c r="L4" s="53" t="s">
        <v>278</v>
      </c>
      <c r="M4" s="53" t="s">
        <v>5</v>
      </c>
      <c r="N4" s="53" t="s">
        <v>3</v>
      </c>
      <c r="O4" s="53" t="s">
        <v>4</v>
      </c>
      <c r="P4" s="53" t="s">
        <v>251</v>
      </c>
      <c r="Q4" s="53" t="s">
        <v>111</v>
      </c>
      <c r="R4" s="53" t="s">
        <v>424</v>
      </c>
      <c r="S4" s="53" t="s">
        <v>422</v>
      </c>
      <c r="T4" s="54" t="s">
        <v>1</v>
      </c>
      <c r="U4" s="53" t="s">
        <v>241</v>
      </c>
      <c r="V4" s="53" t="s">
        <v>238</v>
      </c>
      <c r="W4" s="53" t="s">
        <v>425</v>
      </c>
      <c r="X4" s="53" t="s">
        <v>275</v>
      </c>
      <c r="Y4" s="53" t="s">
        <v>1</v>
      </c>
      <c r="Z4" s="53" t="s">
        <v>1</v>
      </c>
      <c r="AA4" s="53" t="s">
        <v>1</v>
      </c>
      <c r="AB4" s="53"/>
      <c r="AC4" s="53"/>
      <c r="AD4" s="53"/>
      <c r="AE4" s="53"/>
      <c r="AF4" s="53"/>
      <c r="AG4" s="53"/>
      <c r="AH4" s="53"/>
      <c r="AI4" s="53"/>
      <c r="AJ4" s="53"/>
      <c r="AK4" s="53"/>
    </row>
    <row r="5" spans="1:37" ht="133.19999999999999" customHeight="1" x14ac:dyDescent="0.3">
      <c r="A5" s="52" t="s">
        <v>0</v>
      </c>
      <c r="B5" s="52" t="s">
        <v>38</v>
      </c>
      <c r="C5" s="52" t="s">
        <v>276</v>
      </c>
      <c r="D5" s="53" t="s">
        <v>94</v>
      </c>
      <c r="E5" s="53" t="s">
        <v>126</v>
      </c>
      <c r="F5" s="53" t="s">
        <v>136</v>
      </c>
      <c r="G5" s="53" t="s">
        <v>137</v>
      </c>
      <c r="H5" s="53" t="s">
        <v>138</v>
      </c>
      <c r="I5" s="53" t="s">
        <v>130</v>
      </c>
      <c r="J5" s="53" t="s">
        <v>131</v>
      </c>
      <c r="K5" s="53" t="s">
        <v>39</v>
      </c>
      <c r="L5" s="53" t="s">
        <v>279</v>
      </c>
      <c r="M5" s="53" t="s">
        <v>519</v>
      </c>
      <c r="N5" s="53" t="s">
        <v>3</v>
      </c>
      <c r="O5" s="53" t="s">
        <v>85</v>
      </c>
      <c r="P5" s="53" t="s">
        <v>251</v>
      </c>
      <c r="Q5" s="53" t="s">
        <v>139</v>
      </c>
      <c r="R5" s="53" t="s">
        <v>520</v>
      </c>
      <c r="S5" s="53" t="s">
        <v>422</v>
      </c>
      <c r="T5" s="54" t="s">
        <v>1</v>
      </c>
      <c r="U5" s="53" t="s">
        <v>241</v>
      </c>
      <c r="V5" s="53" t="s">
        <v>521</v>
      </c>
      <c r="W5" s="53" t="s">
        <v>239</v>
      </c>
      <c r="X5" s="53" t="s">
        <v>275</v>
      </c>
      <c r="Y5" s="53" t="s">
        <v>1</v>
      </c>
      <c r="Z5" s="53" t="s">
        <v>1</v>
      </c>
      <c r="AA5" s="53" t="s">
        <v>1</v>
      </c>
      <c r="AB5" s="53"/>
      <c r="AC5" s="53"/>
      <c r="AD5" s="53"/>
      <c r="AE5" s="53"/>
      <c r="AF5" s="53"/>
      <c r="AG5" s="53"/>
      <c r="AH5" s="53"/>
      <c r="AI5" s="53"/>
      <c r="AJ5" s="53"/>
      <c r="AK5" s="53"/>
    </row>
    <row r="6" spans="1:37" ht="166.5" customHeight="1" x14ac:dyDescent="0.3">
      <c r="A6" s="52" t="s">
        <v>0</v>
      </c>
      <c r="B6" s="52" t="s">
        <v>38</v>
      </c>
      <c r="C6" s="52" t="s">
        <v>280</v>
      </c>
      <c r="D6" s="53" t="s">
        <v>6</v>
      </c>
      <c r="E6" s="53" t="s">
        <v>140</v>
      </c>
      <c r="F6" s="53" t="s">
        <v>141</v>
      </c>
      <c r="G6" s="53" t="s">
        <v>142</v>
      </c>
      <c r="H6" s="53" t="s">
        <v>143</v>
      </c>
      <c r="I6" s="53" t="s">
        <v>130</v>
      </c>
      <c r="J6" s="53" t="s">
        <v>131</v>
      </c>
      <c r="K6" s="53" t="s">
        <v>8</v>
      </c>
      <c r="L6" s="53" t="s">
        <v>281</v>
      </c>
      <c r="M6" s="53" t="s">
        <v>7</v>
      </c>
      <c r="N6" s="53" t="s">
        <v>3</v>
      </c>
      <c r="O6" s="53" t="s">
        <v>4</v>
      </c>
      <c r="P6" s="53" t="s">
        <v>251</v>
      </c>
      <c r="Q6" s="53" t="s">
        <v>90</v>
      </c>
      <c r="R6" s="61" t="s">
        <v>522</v>
      </c>
      <c r="S6" s="53" t="s">
        <v>426</v>
      </c>
      <c r="T6" s="54" t="s">
        <v>1</v>
      </c>
      <c r="U6" s="53" t="s">
        <v>240</v>
      </c>
      <c r="V6" s="53" t="s">
        <v>427</v>
      </c>
      <c r="W6" s="53" t="s">
        <v>428</v>
      </c>
      <c r="X6" s="53" t="s">
        <v>275</v>
      </c>
      <c r="Y6" s="53" t="s">
        <v>1</v>
      </c>
      <c r="Z6" s="53" t="s">
        <v>1</v>
      </c>
      <c r="AA6" s="53" t="s">
        <v>1</v>
      </c>
      <c r="AB6" s="53"/>
      <c r="AC6" s="53"/>
      <c r="AD6" s="53"/>
      <c r="AE6" s="53"/>
      <c r="AF6" s="53"/>
      <c r="AG6" s="53"/>
      <c r="AH6" s="53"/>
      <c r="AI6" s="53"/>
      <c r="AJ6" s="53"/>
      <c r="AK6" s="53"/>
    </row>
    <row r="7" spans="1:37" ht="133.19999999999999" customHeight="1" x14ac:dyDescent="0.3">
      <c r="A7" s="52" t="s">
        <v>0</v>
      </c>
      <c r="B7" s="52" t="s">
        <v>38</v>
      </c>
      <c r="C7" s="52" t="s">
        <v>280</v>
      </c>
      <c r="D7" s="53" t="s">
        <v>6</v>
      </c>
      <c r="E7" s="53" t="s">
        <v>144</v>
      </c>
      <c r="F7" s="53" t="s">
        <v>145</v>
      </c>
      <c r="G7" s="53" t="s">
        <v>146</v>
      </c>
      <c r="H7" s="53" t="s">
        <v>147</v>
      </c>
      <c r="I7" s="53" t="s">
        <v>148</v>
      </c>
      <c r="J7" s="53" t="s">
        <v>523</v>
      </c>
      <c r="K7" s="53" t="s">
        <v>9</v>
      </c>
      <c r="L7" s="53" t="s">
        <v>282</v>
      </c>
      <c r="M7" s="53" t="s">
        <v>252</v>
      </c>
      <c r="N7" s="53" t="s">
        <v>3</v>
      </c>
      <c r="O7" s="53" t="s">
        <v>4</v>
      </c>
      <c r="P7" s="53" t="s">
        <v>251</v>
      </c>
      <c r="Q7" s="53" t="s">
        <v>90</v>
      </c>
      <c r="R7" s="53" t="s">
        <v>269</v>
      </c>
      <c r="S7" s="54" t="s">
        <v>1</v>
      </c>
      <c r="T7" s="54" t="s">
        <v>1</v>
      </c>
      <c r="U7" s="54" t="s">
        <v>1</v>
      </c>
      <c r="V7" s="54" t="s">
        <v>1</v>
      </c>
      <c r="W7" s="53" t="s">
        <v>430</v>
      </c>
      <c r="X7" s="53" t="s">
        <v>1</v>
      </c>
      <c r="Y7" s="53" t="s">
        <v>1</v>
      </c>
      <c r="Z7" s="53" t="s">
        <v>1</v>
      </c>
      <c r="AA7" s="53" t="s">
        <v>1</v>
      </c>
      <c r="AB7" s="53"/>
      <c r="AC7" s="53"/>
      <c r="AD7" s="53"/>
      <c r="AE7" s="53"/>
      <c r="AF7" s="53"/>
      <c r="AG7" s="53"/>
      <c r="AH7" s="53"/>
      <c r="AI7" s="53"/>
      <c r="AJ7" s="53"/>
      <c r="AK7" s="53"/>
    </row>
    <row r="8" spans="1:37" ht="79.2" customHeight="1" x14ac:dyDescent="0.3">
      <c r="A8" s="52" t="s">
        <v>0</v>
      </c>
      <c r="B8" s="52" t="s">
        <v>38</v>
      </c>
      <c r="C8" s="52" t="s">
        <v>283</v>
      </c>
      <c r="D8" s="53" t="s">
        <v>10</v>
      </c>
      <c r="E8" s="53" t="s">
        <v>149</v>
      </c>
      <c r="F8" s="53" t="s">
        <v>150</v>
      </c>
      <c r="G8" s="53" t="s">
        <v>151</v>
      </c>
      <c r="H8" s="53" t="s">
        <v>152</v>
      </c>
      <c r="I8" s="53" t="s">
        <v>130</v>
      </c>
      <c r="J8" s="53" t="s">
        <v>131</v>
      </c>
      <c r="K8" s="53" t="s">
        <v>11</v>
      </c>
      <c r="L8" s="53" t="s">
        <v>284</v>
      </c>
      <c r="M8" s="53" t="s">
        <v>12</v>
      </c>
      <c r="N8" s="53" t="s">
        <v>3</v>
      </c>
      <c r="O8" s="53" t="s">
        <v>4</v>
      </c>
      <c r="P8" s="53" t="s">
        <v>251</v>
      </c>
      <c r="Q8" s="53" t="s">
        <v>90</v>
      </c>
      <c r="R8" s="53" t="s">
        <v>429</v>
      </c>
      <c r="S8" s="53" t="s">
        <v>1</v>
      </c>
      <c r="T8" s="53" t="s">
        <v>1</v>
      </c>
      <c r="U8" s="53" t="s">
        <v>241</v>
      </c>
      <c r="V8" s="53" t="s">
        <v>358</v>
      </c>
      <c r="W8" s="53" t="s">
        <v>430</v>
      </c>
      <c r="X8" s="53" t="s">
        <v>275</v>
      </c>
      <c r="Y8" s="53" t="s">
        <v>1</v>
      </c>
      <c r="Z8" s="53" t="s">
        <v>1</v>
      </c>
      <c r="AA8" s="53" t="s">
        <v>1</v>
      </c>
      <c r="AB8" s="53"/>
      <c r="AC8" s="53"/>
      <c r="AD8" s="53"/>
      <c r="AE8" s="53"/>
      <c r="AF8" s="53"/>
      <c r="AG8" s="53"/>
      <c r="AH8" s="53"/>
      <c r="AI8" s="53"/>
      <c r="AJ8" s="53"/>
      <c r="AK8" s="53"/>
    </row>
    <row r="9" spans="1:37" ht="96" customHeight="1" x14ac:dyDescent="0.3">
      <c r="A9" s="52" t="s">
        <v>0</v>
      </c>
      <c r="B9" s="52" t="s">
        <v>38</v>
      </c>
      <c r="C9" s="52" t="s">
        <v>283</v>
      </c>
      <c r="D9" s="53" t="s">
        <v>10</v>
      </c>
      <c r="E9" s="53" t="s">
        <v>126</v>
      </c>
      <c r="F9" s="53" t="s">
        <v>153</v>
      </c>
      <c r="G9" s="53" t="s">
        <v>146</v>
      </c>
      <c r="H9" s="53" t="s">
        <v>154</v>
      </c>
      <c r="I9" s="53" t="s">
        <v>148</v>
      </c>
      <c r="J9" s="53" t="s">
        <v>524</v>
      </c>
      <c r="K9" s="53" t="s">
        <v>11</v>
      </c>
      <c r="L9" s="53" t="s">
        <v>284</v>
      </c>
      <c r="M9" s="53" t="s">
        <v>155</v>
      </c>
      <c r="N9" s="53" t="s">
        <v>3</v>
      </c>
      <c r="O9" s="53" t="s">
        <v>4</v>
      </c>
      <c r="P9" s="53" t="s">
        <v>251</v>
      </c>
      <c r="Q9" s="53" t="s">
        <v>90</v>
      </c>
      <c r="R9" s="53" t="s">
        <v>429</v>
      </c>
      <c r="S9" s="53" t="s">
        <v>1</v>
      </c>
      <c r="T9" s="53" t="s">
        <v>1</v>
      </c>
      <c r="U9" s="53" t="s">
        <v>241</v>
      </c>
      <c r="V9" s="53" t="s">
        <v>358</v>
      </c>
      <c r="W9" s="53" t="s">
        <v>430</v>
      </c>
      <c r="X9" s="53" t="s">
        <v>275</v>
      </c>
      <c r="Y9" s="53" t="s">
        <v>1</v>
      </c>
      <c r="Z9" s="53" t="s">
        <v>1</v>
      </c>
      <c r="AA9" s="53" t="s">
        <v>1</v>
      </c>
      <c r="AB9" s="53"/>
      <c r="AC9" s="53"/>
      <c r="AD9" s="53"/>
      <c r="AE9" s="53"/>
      <c r="AF9" s="53"/>
      <c r="AG9" s="53"/>
      <c r="AH9" s="53"/>
      <c r="AI9" s="53"/>
      <c r="AJ9" s="53"/>
      <c r="AK9" s="53"/>
    </row>
    <row r="10" spans="1:37" ht="133.19999999999999" customHeight="1" x14ac:dyDescent="0.3">
      <c r="A10" s="52" t="s">
        <v>0</v>
      </c>
      <c r="B10" s="52" t="s">
        <v>38</v>
      </c>
      <c r="C10" s="52" t="s">
        <v>283</v>
      </c>
      <c r="D10" s="53" t="s">
        <v>10</v>
      </c>
      <c r="E10" s="53" t="s">
        <v>156</v>
      </c>
      <c r="F10" s="53" t="s">
        <v>150</v>
      </c>
      <c r="G10" s="53" t="s">
        <v>151</v>
      </c>
      <c r="H10" s="53" t="s">
        <v>152</v>
      </c>
      <c r="I10" s="53" t="s">
        <v>130</v>
      </c>
      <c r="J10" s="53" t="s">
        <v>132</v>
      </c>
      <c r="K10" s="53" t="s">
        <v>13</v>
      </c>
      <c r="L10" s="53" t="s">
        <v>264</v>
      </c>
      <c r="M10" s="53" t="s">
        <v>40</v>
      </c>
      <c r="N10" s="53" t="s">
        <v>3</v>
      </c>
      <c r="O10" s="53" t="s">
        <v>85</v>
      </c>
      <c r="P10" s="53" t="s">
        <v>251</v>
      </c>
      <c r="Q10" s="53" t="s">
        <v>157</v>
      </c>
      <c r="R10" s="68" t="s">
        <v>546</v>
      </c>
      <c r="S10" s="53" t="s">
        <v>1</v>
      </c>
      <c r="T10" s="54" t="s">
        <v>1</v>
      </c>
      <c r="U10" s="53" t="s">
        <v>241</v>
      </c>
      <c r="V10" s="53" t="s">
        <v>359</v>
      </c>
      <c r="W10" s="53" t="s">
        <v>245</v>
      </c>
      <c r="X10" s="53" t="s">
        <v>1</v>
      </c>
      <c r="Y10" s="69" t="s">
        <v>547</v>
      </c>
      <c r="Z10" s="69" t="s">
        <v>548</v>
      </c>
      <c r="AA10" s="70" t="s">
        <v>549</v>
      </c>
      <c r="AB10" s="53"/>
      <c r="AC10" s="53"/>
      <c r="AD10" s="53"/>
      <c r="AE10" s="53"/>
      <c r="AF10" s="53"/>
      <c r="AG10" s="53"/>
      <c r="AH10" s="53"/>
      <c r="AI10" s="53"/>
      <c r="AJ10" s="53"/>
      <c r="AK10" s="53"/>
    </row>
    <row r="11" spans="1:37" ht="133.19999999999999" customHeight="1" x14ac:dyDescent="0.3">
      <c r="A11" s="52" t="s">
        <v>0</v>
      </c>
      <c r="B11" s="52" t="s">
        <v>38</v>
      </c>
      <c r="C11" s="52" t="s">
        <v>283</v>
      </c>
      <c r="D11" s="53" t="s">
        <v>10</v>
      </c>
      <c r="E11" s="53" t="s">
        <v>126</v>
      </c>
      <c r="F11" s="53" t="s">
        <v>153</v>
      </c>
      <c r="G11" s="53" t="s">
        <v>146</v>
      </c>
      <c r="H11" s="53" t="s">
        <v>154</v>
      </c>
      <c r="I11" s="53" t="s">
        <v>148</v>
      </c>
      <c r="J11" s="53" t="s">
        <v>523</v>
      </c>
      <c r="K11" s="53" t="s">
        <v>13</v>
      </c>
      <c r="L11" s="53" t="s">
        <v>264</v>
      </c>
      <c r="M11" s="53" t="s">
        <v>40</v>
      </c>
      <c r="N11" s="53" t="s">
        <v>3</v>
      </c>
      <c r="O11" s="53" t="s">
        <v>85</v>
      </c>
      <c r="P11" s="53" t="s">
        <v>251</v>
      </c>
      <c r="Q11" s="53" t="s">
        <v>95</v>
      </c>
      <c r="R11" s="68" t="s">
        <v>546</v>
      </c>
      <c r="S11" s="53" t="s">
        <v>1</v>
      </c>
      <c r="T11" s="54" t="s">
        <v>1</v>
      </c>
      <c r="U11" s="53" t="s">
        <v>241</v>
      </c>
      <c r="V11" s="53" t="s">
        <v>359</v>
      </c>
      <c r="W11" s="53" t="s">
        <v>245</v>
      </c>
      <c r="X11" s="53" t="s">
        <v>1</v>
      </c>
      <c r="Y11" s="69" t="s">
        <v>547</v>
      </c>
      <c r="Z11" s="69" t="s">
        <v>548</v>
      </c>
      <c r="AA11" s="70" t="s">
        <v>549</v>
      </c>
      <c r="AB11" s="53"/>
      <c r="AC11" s="53"/>
      <c r="AD11" s="53"/>
      <c r="AE11" s="53"/>
      <c r="AF11" s="53"/>
      <c r="AG11" s="53"/>
      <c r="AH11" s="53"/>
      <c r="AI11" s="53"/>
      <c r="AJ11" s="53"/>
      <c r="AK11" s="53"/>
    </row>
    <row r="12" spans="1:37" ht="133.19999999999999" customHeight="1" x14ac:dyDescent="0.3">
      <c r="A12" s="52" t="s">
        <v>0</v>
      </c>
      <c r="B12" s="52" t="s">
        <v>38</v>
      </c>
      <c r="C12" s="52" t="s">
        <v>283</v>
      </c>
      <c r="D12" s="53" t="s">
        <v>10</v>
      </c>
      <c r="E12" s="53" t="s">
        <v>126</v>
      </c>
      <c r="F12" s="53" t="s">
        <v>136</v>
      </c>
      <c r="G12" s="53" t="s">
        <v>158</v>
      </c>
      <c r="H12" s="53" t="s">
        <v>159</v>
      </c>
      <c r="I12" s="53" t="s">
        <v>148</v>
      </c>
      <c r="J12" s="53" t="s">
        <v>523</v>
      </c>
      <c r="K12" s="53" t="s">
        <v>80</v>
      </c>
      <c r="L12" s="53" t="s">
        <v>265</v>
      </c>
      <c r="M12" s="53" t="s">
        <v>41</v>
      </c>
      <c r="N12" s="53" t="s">
        <v>3</v>
      </c>
      <c r="O12" s="53" t="s">
        <v>4</v>
      </c>
      <c r="P12" s="53" t="s">
        <v>251</v>
      </c>
      <c r="Q12" s="53" t="s">
        <v>111</v>
      </c>
      <c r="R12" s="68" t="s">
        <v>550</v>
      </c>
      <c r="S12" s="53" t="s">
        <v>1</v>
      </c>
      <c r="T12" s="54" t="s">
        <v>1</v>
      </c>
      <c r="U12" s="53" t="s">
        <v>241</v>
      </c>
      <c r="V12" s="53" t="s">
        <v>349</v>
      </c>
      <c r="W12" s="53" t="s">
        <v>245</v>
      </c>
      <c r="X12" s="53" t="s">
        <v>1</v>
      </c>
      <c r="Y12" s="69" t="s">
        <v>551</v>
      </c>
      <c r="Z12" s="69" t="s">
        <v>552</v>
      </c>
      <c r="AA12" s="70" t="s">
        <v>549</v>
      </c>
      <c r="AB12" s="53"/>
      <c r="AC12" s="53"/>
      <c r="AD12" s="53"/>
      <c r="AE12" s="53"/>
      <c r="AF12" s="53"/>
      <c r="AG12" s="53"/>
      <c r="AH12" s="53"/>
      <c r="AI12" s="53"/>
      <c r="AJ12" s="53"/>
      <c r="AK12" s="53"/>
    </row>
    <row r="13" spans="1:37" ht="133.19999999999999" customHeight="1" x14ac:dyDescent="0.3">
      <c r="A13" s="52" t="s">
        <v>0</v>
      </c>
      <c r="B13" s="52" t="s">
        <v>38</v>
      </c>
      <c r="C13" s="52" t="s">
        <v>283</v>
      </c>
      <c r="D13" s="53" t="s">
        <v>10</v>
      </c>
      <c r="E13" s="53" t="s">
        <v>126</v>
      </c>
      <c r="F13" s="53" t="s">
        <v>145</v>
      </c>
      <c r="G13" s="53" t="s">
        <v>146</v>
      </c>
      <c r="H13" s="53" t="s">
        <v>147</v>
      </c>
      <c r="I13" s="53" t="s">
        <v>148</v>
      </c>
      <c r="J13" s="53" t="s">
        <v>523</v>
      </c>
      <c r="K13" s="53" t="s">
        <v>11</v>
      </c>
      <c r="L13" s="53" t="s">
        <v>265</v>
      </c>
      <c r="M13" s="53" t="s">
        <v>41</v>
      </c>
      <c r="N13" s="53" t="s">
        <v>3</v>
      </c>
      <c r="O13" s="53" t="s">
        <v>4</v>
      </c>
      <c r="P13" s="53" t="s">
        <v>251</v>
      </c>
      <c r="Q13" s="53" t="s">
        <v>111</v>
      </c>
      <c r="R13" s="68" t="s">
        <v>550</v>
      </c>
      <c r="S13" s="53" t="s">
        <v>1</v>
      </c>
      <c r="T13" s="54" t="s">
        <v>1</v>
      </c>
      <c r="U13" s="53" t="s">
        <v>241</v>
      </c>
      <c r="V13" s="53" t="s">
        <v>349</v>
      </c>
      <c r="W13" s="53" t="s">
        <v>245</v>
      </c>
      <c r="X13" s="53" t="s">
        <v>1</v>
      </c>
      <c r="Y13" s="69" t="s">
        <v>551</v>
      </c>
      <c r="Z13" s="69" t="s">
        <v>552</v>
      </c>
      <c r="AA13" s="70" t="s">
        <v>549</v>
      </c>
      <c r="AB13" s="53"/>
      <c r="AC13" s="53"/>
      <c r="AD13" s="53"/>
      <c r="AE13" s="53"/>
      <c r="AF13" s="53"/>
      <c r="AG13" s="53"/>
      <c r="AH13" s="53"/>
      <c r="AI13" s="53"/>
      <c r="AJ13" s="53"/>
      <c r="AK13" s="53"/>
    </row>
    <row r="14" spans="1:37" ht="142.94999999999999" customHeight="1" x14ac:dyDescent="0.3">
      <c r="A14" s="52" t="s">
        <v>0</v>
      </c>
      <c r="B14" s="52" t="s">
        <v>38</v>
      </c>
      <c r="C14" s="52" t="s">
        <v>285</v>
      </c>
      <c r="D14" s="53" t="s">
        <v>42</v>
      </c>
      <c r="E14" s="53" t="s">
        <v>126</v>
      </c>
      <c r="F14" s="53" t="s">
        <v>133</v>
      </c>
      <c r="G14" s="53" t="s">
        <v>160</v>
      </c>
      <c r="H14" s="53" t="s">
        <v>161</v>
      </c>
      <c r="I14" s="53" t="s">
        <v>130</v>
      </c>
      <c r="J14" s="53" t="s">
        <v>131</v>
      </c>
      <c r="K14" s="53" t="s">
        <v>162</v>
      </c>
      <c r="L14" s="53" t="s">
        <v>286</v>
      </c>
      <c r="M14" s="53" t="s">
        <v>114</v>
      </c>
      <c r="N14" s="53" t="s">
        <v>3</v>
      </c>
      <c r="O14" s="53" t="s">
        <v>4</v>
      </c>
      <c r="P14" s="53" t="s">
        <v>251</v>
      </c>
      <c r="Q14" s="53" t="s">
        <v>90</v>
      </c>
      <c r="R14" s="53" t="s">
        <v>431</v>
      </c>
      <c r="S14" s="53" t="s">
        <v>432</v>
      </c>
      <c r="T14" s="54" t="s">
        <v>1</v>
      </c>
      <c r="U14" s="53" t="s">
        <v>241</v>
      </c>
      <c r="V14" s="53" t="s">
        <v>433</v>
      </c>
      <c r="W14" s="53" t="s">
        <v>434</v>
      </c>
      <c r="X14" s="53" t="s">
        <v>275</v>
      </c>
      <c r="Y14" s="53" t="s">
        <v>1</v>
      </c>
      <c r="Z14" s="53" t="s">
        <v>1</v>
      </c>
      <c r="AA14" s="53" t="s">
        <v>1</v>
      </c>
      <c r="AB14" s="53"/>
      <c r="AC14" s="53"/>
      <c r="AD14" s="53"/>
      <c r="AE14" s="53"/>
      <c r="AF14" s="53"/>
      <c r="AG14" s="53"/>
      <c r="AH14" s="53"/>
      <c r="AI14" s="53"/>
      <c r="AJ14" s="53"/>
      <c r="AK14" s="53"/>
    </row>
    <row r="15" spans="1:37" ht="133.19999999999999" customHeight="1" x14ac:dyDescent="0.3">
      <c r="A15" s="52" t="s">
        <v>0</v>
      </c>
      <c r="B15" s="52" t="s">
        <v>38</v>
      </c>
      <c r="C15" s="52" t="s">
        <v>285</v>
      </c>
      <c r="D15" s="53" t="s">
        <v>42</v>
      </c>
      <c r="E15" s="53" t="s">
        <v>126</v>
      </c>
      <c r="F15" s="53" t="s">
        <v>133</v>
      </c>
      <c r="G15" s="53" t="s">
        <v>160</v>
      </c>
      <c r="H15" s="53" t="s">
        <v>161</v>
      </c>
      <c r="I15" s="53" t="s">
        <v>130</v>
      </c>
      <c r="J15" s="53" t="s">
        <v>131</v>
      </c>
      <c r="K15" s="53" t="s">
        <v>14</v>
      </c>
      <c r="L15" s="53" t="s">
        <v>287</v>
      </c>
      <c r="M15" s="53" t="s">
        <v>99</v>
      </c>
      <c r="N15" s="53" t="s">
        <v>43</v>
      </c>
      <c r="O15" s="53" t="s">
        <v>4</v>
      </c>
      <c r="P15" s="53" t="s">
        <v>251</v>
      </c>
      <c r="Q15" s="53" t="s">
        <v>91</v>
      </c>
      <c r="R15" s="55" t="s">
        <v>435</v>
      </c>
      <c r="S15" s="53" t="s">
        <v>432</v>
      </c>
      <c r="T15" s="54" t="s">
        <v>1</v>
      </c>
      <c r="U15" s="53" t="s">
        <v>241</v>
      </c>
      <c r="V15" s="53" t="s">
        <v>1</v>
      </c>
      <c r="W15" s="53" t="s">
        <v>244</v>
      </c>
      <c r="X15" s="53" t="s">
        <v>275</v>
      </c>
      <c r="Y15" s="53" t="s">
        <v>1</v>
      </c>
      <c r="Z15" s="53" t="s">
        <v>1</v>
      </c>
      <c r="AA15" s="53" t="s">
        <v>1</v>
      </c>
      <c r="AB15" s="53"/>
      <c r="AC15" s="53"/>
      <c r="AD15" s="53"/>
      <c r="AE15" s="53"/>
      <c r="AF15" s="53"/>
      <c r="AG15" s="53"/>
      <c r="AH15" s="53"/>
      <c r="AI15" s="53"/>
      <c r="AJ15" s="53"/>
      <c r="AK15" s="53"/>
    </row>
    <row r="16" spans="1:37" ht="133.19999999999999" customHeight="1" x14ac:dyDescent="0.3">
      <c r="A16" s="52" t="s">
        <v>0</v>
      </c>
      <c r="B16" s="52" t="s">
        <v>38</v>
      </c>
      <c r="C16" s="52" t="s">
        <v>285</v>
      </c>
      <c r="D16" s="53" t="s">
        <v>42</v>
      </c>
      <c r="E16" s="53" t="s">
        <v>126</v>
      </c>
      <c r="F16" s="53" t="s">
        <v>133</v>
      </c>
      <c r="G16" s="53" t="s">
        <v>160</v>
      </c>
      <c r="H16" s="53" t="s">
        <v>163</v>
      </c>
      <c r="I16" s="53" t="s">
        <v>130</v>
      </c>
      <c r="J16" s="53" t="s">
        <v>131</v>
      </c>
      <c r="K16" s="53" t="s">
        <v>14</v>
      </c>
      <c r="L16" s="53" t="s">
        <v>288</v>
      </c>
      <c r="M16" s="53" t="s">
        <v>100</v>
      </c>
      <c r="N16" s="53" t="s">
        <v>3</v>
      </c>
      <c r="O16" s="53" t="s">
        <v>4</v>
      </c>
      <c r="P16" s="53" t="s">
        <v>251</v>
      </c>
      <c r="Q16" s="53" t="s">
        <v>91</v>
      </c>
      <c r="R16" s="53" t="s">
        <v>243</v>
      </c>
      <c r="S16" s="53" t="s">
        <v>432</v>
      </c>
      <c r="T16" s="54" t="s">
        <v>1</v>
      </c>
      <c r="U16" s="53" t="s">
        <v>1</v>
      </c>
      <c r="V16" s="53" t="s">
        <v>436</v>
      </c>
      <c r="W16" s="53" t="s">
        <v>245</v>
      </c>
      <c r="X16" s="53" t="s">
        <v>275</v>
      </c>
      <c r="Y16" s="53" t="s">
        <v>1</v>
      </c>
      <c r="Z16" s="53" t="s">
        <v>1</v>
      </c>
      <c r="AA16" s="53" t="s">
        <v>1</v>
      </c>
      <c r="AB16" s="53"/>
      <c r="AC16" s="53"/>
      <c r="AD16" s="53"/>
      <c r="AE16" s="53"/>
      <c r="AF16" s="53"/>
      <c r="AG16" s="53"/>
      <c r="AH16" s="53"/>
      <c r="AI16" s="53"/>
      <c r="AJ16" s="53"/>
      <c r="AK16" s="53"/>
    </row>
    <row r="17" spans="1:37" ht="133.19999999999999" customHeight="1" x14ac:dyDescent="0.3">
      <c r="A17" s="52" t="s">
        <v>0</v>
      </c>
      <c r="B17" s="52" t="s">
        <v>38</v>
      </c>
      <c r="C17" s="52" t="s">
        <v>285</v>
      </c>
      <c r="D17" s="53" t="s">
        <v>42</v>
      </c>
      <c r="E17" s="53" t="s">
        <v>126</v>
      </c>
      <c r="F17" s="53" t="s">
        <v>133</v>
      </c>
      <c r="G17" s="53" t="s">
        <v>160</v>
      </c>
      <c r="H17" s="53" t="s">
        <v>161</v>
      </c>
      <c r="I17" s="53" t="s">
        <v>130</v>
      </c>
      <c r="J17" s="53" t="s">
        <v>131</v>
      </c>
      <c r="K17" s="53" t="s">
        <v>44</v>
      </c>
      <c r="L17" s="53" t="s">
        <v>289</v>
      </c>
      <c r="M17" s="53" t="s">
        <v>101</v>
      </c>
      <c r="N17" s="53" t="s">
        <v>3</v>
      </c>
      <c r="O17" s="53" t="s">
        <v>85</v>
      </c>
      <c r="P17" s="53" t="s">
        <v>251</v>
      </c>
      <c r="Q17" s="56" t="s">
        <v>164</v>
      </c>
      <c r="R17" s="111" t="s">
        <v>563</v>
      </c>
      <c r="S17" s="53" t="s">
        <v>432</v>
      </c>
      <c r="T17" s="54" t="s">
        <v>1</v>
      </c>
      <c r="U17" s="53" t="s">
        <v>241</v>
      </c>
      <c r="V17" s="53" t="s">
        <v>437</v>
      </c>
      <c r="W17" s="53" t="s">
        <v>434</v>
      </c>
      <c r="X17" s="53" t="s">
        <v>275</v>
      </c>
      <c r="Y17" s="53" t="s">
        <v>1</v>
      </c>
      <c r="Z17" s="53" t="s">
        <v>1</v>
      </c>
      <c r="AA17" s="53" t="s">
        <v>1</v>
      </c>
      <c r="AB17" s="53"/>
      <c r="AC17" s="53"/>
      <c r="AD17" s="53"/>
      <c r="AE17" s="53"/>
      <c r="AF17" s="53"/>
      <c r="AG17" s="53"/>
      <c r="AH17" s="53"/>
      <c r="AI17" s="53"/>
      <c r="AJ17" s="53"/>
      <c r="AK17" s="53"/>
    </row>
    <row r="18" spans="1:37" ht="80.400000000000006" customHeight="1" x14ac:dyDescent="0.3">
      <c r="A18" s="52" t="s">
        <v>0</v>
      </c>
      <c r="B18" s="52" t="s">
        <v>38</v>
      </c>
      <c r="C18" s="52" t="s">
        <v>285</v>
      </c>
      <c r="D18" s="53" t="s">
        <v>42</v>
      </c>
      <c r="E18" s="53" t="s">
        <v>126</v>
      </c>
      <c r="F18" s="53" t="s">
        <v>133</v>
      </c>
      <c r="G18" s="53" t="s">
        <v>160</v>
      </c>
      <c r="H18" s="53" t="s">
        <v>161</v>
      </c>
      <c r="I18" s="53" t="s">
        <v>130</v>
      </c>
      <c r="J18" s="53" t="s">
        <v>131</v>
      </c>
      <c r="K18" s="53" t="s">
        <v>14</v>
      </c>
      <c r="L18" s="53" t="s">
        <v>290</v>
      </c>
      <c r="M18" s="53" t="s">
        <v>45</v>
      </c>
      <c r="N18" s="53" t="s">
        <v>43</v>
      </c>
      <c r="O18" s="53" t="s">
        <v>4</v>
      </c>
      <c r="P18" s="53" t="s">
        <v>251</v>
      </c>
      <c r="Q18" s="53" t="s">
        <v>91</v>
      </c>
      <c r="R18" s="53" t="s">
        <v>438</v>
      </c>
      <c r="S18" s="53" t="s">
        <v>432</v>
      </c>
      <c r="T18" s="54" t="s">
        <v>1</v>
      </c>
      <c r="U18" s="53" t="s">
        <v>241</v>
      </c>
      <c r="V18" s="53" t="s">
        <v>1</v>
      </c>
      <c r="W18" s="53" t="s">
        <v>245</v>
      </c>
      <c r="X18" s="53" t="s">
        <v>275</v>
      </c>
      <c r="Y18" s="53" t="s">
        <v>1</v>
      </c>
      <c r="Z18" s="53" t="s">
        <v>1</v>
      </c>
      <c r="AA18" s="53" t="s">
        <v>1</v>
      </c>
      <c r="AB18" s="53"/>
      <c r="AC18" s="53"/>
      <c r="AD18" s="53"/>
      <c r="AE18" s="53"/>
      <c r="AF18" s="53"/>
      <c r="AG18" s="53"/>
      <c r="AH18" s="53"/>
      <c r="AI18" s="53"/>
      <c r="AJ18" s="53"/>
      <c r="AK18" s="53"/>
    </row>
    <row r="19" spans="1:37" ht="133.19999999999999" customHeight="1" x14ac:dyDescent="0.3">
      <c r="A19" s="52" t="s">
        <v>0</v>
      </c>
      <c r="B19" s="52" t="s">
        <v>38</v>
      </c>
      <c r="C19" s="52" t="s">
        <v>285</v>
      </c>
      <c r="D19" s="53" t="s">
        <v>42</v>
      </c>
      <c r="E19" s="53" t="s">
        <v>126</v>
      </c>
      <c r="F19" s="53" t="s">
        <v>133</v>
      </c>
      <c r="G19" s="53" t="s">
        <v>160</v>
      </c>
      <c r="H19" s="53" t="s">
        <v>161</v>
      </c>
      <c r="I19" s="53" t="s">
        <v>130</v>
      </c>
      <c r="J19" s="53" t="s">
        <v>131</v>
      </c>
      <c r="K19" s="53" t="s">
        <v>14</v>
      </c>
      <c r="L19" s="53" t="s">
        <v>291</v>
      </c>
      <c r="M19" s="53" t="s">
        <v>46</v>
      </c>
      <c r="N19" s="53" t="s">
        <v>3</v>
      </c>
      <c r="O19" s="53" t="s">
        <v>4</v>
      </c>
      <c r="P19" s="53" t="s">
        <v>251</v>
      </c>
      <c r="Q19" s="53" t="s">
        <v>90</v>
      </c>
      <c r="R19" s="53" t="s">
        <v>439</v>
      </c>
      <c r="S19" s="53" t="s">
        <v>432</v>
      </c>
      <c r="T19" s="54" t="s">
        <v>1</v>
      </c>
      <c r="U19" s="53" t="s">
        <v>241</v>
      </c>
      <c r="V19" s="53" t="s">
        <v>440</v>
      </c>
      <c r="W19" s="53" t="s">
        <v>434</v>
      </c>
      <c r="X19" s="53" t="s">
        <v>275</v>
      </c>
      <c r="Y19" s="53" t="s">
        <v>1</v>
      </c>
      <c r="Z19" s="53" t="s">
        <v>1</v>
      </c>
      <c r="AA19" s="53" t="s">
        <v>1</v>
      </c>
      <c r="AB19" s="53"/>
      <c r="AC19" s="53"/>
      <c r="AD19" s="53"/>
      <c r="AE19" s="53"/>
      <c r="AF19" s="53"/>
      <c r="AG19" s="53"/>
      <c r="AH19" s="53"/>
      <c r="AI19" s="53"/>
      <c r="AJ19" s="53"/>
      <c r="AK19" s="53"/>
    </row>
    <row r="20" spans="1:37" ht="52.95" customHeight="1" x14ac:dyDescent="0.3">
      <c r="A20" s="52" t="s">
        <v>0</v>
      </c>
      <c r="B20" s="52" t="s">
        <v>38</v>
      </c>
      <c r="C20" s="52" t="s">
        <v>292</v>
      </c>
      <c r="D20" s="53" t="s">
        <v>102</v>
      </c>
      <c r="E20" s="53" t="s">
        <v>126</v>
      </c>
      <c r="F20" s="53" t="s">
        <v>133</v>
      </c>
      <c r="G20" s="53" t="s">
        <v>165</v>
      </c>
      <c r="H20" s="53" t="s">
        <v>166</v>
      </c>
      <c r="I20" s="53" t="s">
        <v>148</v>
      </c>
      <c r="J20" s="53" t="s">
        <v>523</v>
      </c>
      <c r="K20" s="53" t="s">
        <v>47</v>
      </c>
      <c r="L20" s="53" t="s">
        <v>293</v>
      </c>
      <c r="M20" s="53" t="s">
        <v>167</v>
      </c>
      <c r="N20" s="53" t="s">
        <v>48</v>
      </c>
      <c r="O20" s="53" t="s">
        <v>4</v>
      </c>
      <c r="P20" s="53" t="s">
        <v>251</v>
      </c>
      <c r="Q20" s="53" t="s">
        <v>91</v>
      </c>
      <c r="R20" s="53" t="s">
        <v>513</v>
      </c>
      <c r="S20" s="53" t="s">
        <v>441</v>
      </c>
      <c r="T20" s="54" t="s">
        <v>1</v>
      </c>
      <c r="U20" s="53" t="s">
        <v>241</v>
      </c>
      <c r="V20" s="54" t="s">
        <v>262</v>
      </c>
      <c r="W20" s="53" t="s">
        <v>245</v>
      </c>
      <c r="X20" s="53" t="s">
        <v>275</v>
      </c>
      <c r="Y20" s="53" t="s">
        <v>1</v>
      </c>
      <c r="Z20" s="53" t="s">
        <v>1</v>
      </c>
      <c r="AA20" s="53" t="s">
        <v>1</v>
      </c>
      <c r="AB20" s="53"/>
      <c r="AC20" s="53"/>
      <c r="AD20" s="53"/>
      <c r="AE20" s="53"/>
      <c r="AF20" s="53"/>
      <c r="AG20" s="53"/>
      <c r="AH20" s="53"/>
      <c r="AI20" s="53"/>
      <c r="AJ20" s="53"/>
      <c r="AK20" s="53"/>
    </row>
    <row r="21" spans="1:37" ht="133.19999999999999" customHeight="1" x14ac:dyDescent="0.3">
      <c r="A21" s="52" t="s">
        <v>0</v>
      </c>
      <c r="B21" s="52" t="s">
        <v>38</v>
      </c>
      <c r="C21" s="52" t="s">
        <v>292</v>
      </c>
      <c r="D21" s="53" t="s">
        <v>15</v>
      </c>
      <c r="E21" s="53" t="s">
        <v>126</v>
      </c>
      <c r="F21" s="53" t="s">
        <v>153</v>
      </c>
      <c r="G21" s="53" t="s">
        <v>168</v>
      </c>
      <c r="H21" s="53" t="s">
        <v>154</v>
      </c>
      <c r="I21" s="53" t="s">
        <v>148</v>
      </c>
      <c r="J21" s="53" t="s">
        <v>523</v>
      </c>
      <c r="K21" s="53" t="s">
        <v>16</v>
      </c>
      <c r="L21" s="53" t="s">
        <v>294</v>
      </c>
      <c r="M21" s="53" t="s">
        <v>442</v>
      </c>
      <c r="N21" s="53" t="s">
        <v>43</v>
      </c>
      <c r="O21" s="53" t="s">
        <v>4</v>
      </c>
      <c r="P21" s="53" t="s">
        <v>251</v>
      </c>
      <c r="Q21" s="53" t="s">
        <v>91</v>
      </c>
      <c r="R21" s="55" t="s">
        <v>443</v>
      </c>
      <c r="S21" s="53" t="s">
        <v>1</v>
      </c>
      <c r="T21" s="54" t="s">
        <v>1</v>
      </c>
      <c r="U21" s="53" t="s">
        <v>241</v>
      </c>
      <c r="V21" s="54" t="s">
        <v>1</v>
      </c>
      <c r="W21" s="53" t="s">
        <v>245</v>
      </c>
      <c r="X21" s="53" t="s">
        <v>275</v>
      </c>
      <c r="Y21" s="53" t="s">
        <v>1</v>
      </c>
      <c r="Z21" s="53" t="s">
        <v>1</v>
      </c>
      <c r="AA21" s="53" t="s">
        <v>1</v>
      </c>
      <c r="AB21" s="53"/>
      <c r="AC21" s="53"/>
      <c r="AD21" s="53"/>
      <c r="AE21" s="53"/>
      <c r="AF21" s="53"/>
      <c r="AG21" s="53"/>
      <c r="AH21" s="53"/>
      <c r="AI21" s="53"/>
      <c r="AJ21" s="53"/>
      <c r="AK21" s="53"/>
    </row>
    <row r="22" spans="1:37" ht="133.19999999999999" customHeight="1" x14ac:dyDescent="0.3">
      <c r="A22" s="52" t="s">
        <v>0</v>
      </c>
      <c r="B22" s="52" t="s">
        <v>38</v>
      </c>
      <c r="C22" s="52" t="s">
        <v>292</v>
      </c>
      <c r="D22" s="53" t="s">
        <v>15</v>
      </c>
      <c r="E22" s="53" t="s">
        <v>126</v>
      </c>
      <c r="F22" s="53" t="s">
        <v>169</v>
      </c>
      <c r="G22" s="53" t="s">
        <v>170</v>
      </c>
      <c r="H22" s="53" t="s">
        <v>171</v>
      </c>
      <c r="I22" s="53" t="s">
        <v>130</v>
      </c>
      <c r="J22" s="53" t="s">
        <v>131</v>
      </c>
      <c r="K22" s="53" t="s">
        <v>16</v>
      </c>
      <c r="L22" s="53" t="s">
        <v>294</v>
      </c>
      <c r="M22" s="53" t="s">
        <v>253</v>
      </c>
      <c r="N22" s="53" t="s">
        <v>43</v>
      </c>
      <c r="O22" s="53" t="s">
        <v>4</v>
      </c>
      <c r="P22" s="53" t="s">
        <v>251</v>
      </c>
      <c r="Q22" s="53" t="s">
        <v>91</v>
      </c>
      <c r="R22" s="55" t="s">
        <v>443</v>
      </c>
      <c r="S22" s="53" t="s">
        <v>1</v>
      </c>
      <c r="T22" s="53" t="s">
        <v>1</v>
      </c>
      <c r="U22" s="53" t="s">
        <v>241</v>
      </c>
      <c r="V22" s="54" t="s">
        <v>1</v>
      </c>
      <c r="W22" s="53" t="s">
        <v>245</v>
      </c>
      <c r="X22" s="53" t="s">
        <v>275</v>
      </c>
      <c r="Y22" s="53" t="s">
        <v>1</v>
      </c>
      <c r="Z22" s="53" t="s">
        <v>1</v>
      </c>
      <c r="AA22" s="53" t="s">
        <v>1</v>
      </c>
      <c r="AB22" s="53"/>
      <c r="AC22" s="53"/>
      <c r="AD22" s="53"/>
      <c r="AE22" s="53"/>
      <c r="AF22" s="53"/>
      <c r="AG22" s="53"/>
      <c r="AH22" s="53"/>
      <c r="AI22" s="53"/>
      <c r="AJ22" s="53"/>
      <c r="AK22" s="53"/>
    </row>
    <row r="23" spans="1:37" ht="133.19999999999999" customHeight="1" x14ac:dyDescent="0.3">
      <c r="A23" s="52" t="s">
        <v>0</v>
      </c>
      <c r="B23" s="52" t="s">
        <v>38</v>
      </c>
      <c r="C23" s="52" t="s">
        <v>292</v>
      </c>
      <c r="D23" s="53" t="s">
        <v>15</v>
      </c>
      <c r="E23" s="53" t="s">
        <v>126</v>
      </c>
      <c r="F23" s="53" t="s">
        <v>153</v>
      </c>
      <c r="G23" s="53" t="s">
        <v>146</v>
      </c>
      <c r="H23" s="53" t="s">
        <v>154</v>
      </c>
      <c r="I23" s="53" t="s">
        <v>148</v>
      </c>
      <c r="J23" s="53" t="s">
        <v>523</v>
      </c>
      <c r="K23" s="53" t="s">
        <v>16</v>
      </c>
      <c r="L23" s="53" t="s">
        <v>295</v>
      </c>
      <c r="M23" s="53" t="s">
        <v>254</v>
      </c>
      <c r="N23" s="53" t="s">
        <v>43</v>
      </c>
      <c r="O23" s="53" t="s">
        <v>4</v>
      </c>
      <c r="P23" s="53" t="s">
        <v>251</v>
      </c>
      <c r="Q23" s="53" t="s">
        <v>91</v>
      </c>
      <c r="R23" s="53" t="s">
        <v>269</v>
      </c>
      <c r="S23" s="53" t="s">
        <v>1</v>
      </c>
      <c r="T23" s="53" t="s">
        <v>1</v>
      </c>
      <c r="U23" s="53" t="s">
        <v>1</v>
      </c>
      <c r="V23" s="53" t="s">
        <v>1</v>
      </c>
      <c r="W23" s="53" t="s">
        <v>245</v>
      </c>
      <c r="X23" s="53" t="s">
        <v>1</v>
      </c>
      <c r="Y23" s="53" t="s">
        <v>1</v>
      </c>
      <c r="Z23" s="53" t="s">
        <v>1</v>
      </c>
      <c r="AA23" s="53" t="s">
        <v>1</v>
      </c>
      <c r="AB23" s="53"/>
      <c r="AC23" s="53"/>
      <c r="AD23" s="53"/>
      <c r="AE23" s="53"/>
      <c r="AF23" s="53"/>
      <c r="AG23" s="53"/>
      <c r="AH23" s="53"/>
      <c r="AI23" s="53"/>
      <c r="AJ23" s="53"/>
      <c r="AK23" s="53"/>
    </row>
    <row r="24" spans="1:37" ht="133.19999999999999" customHeight="1" x14ac:dyDescent="0.3">
      <c r="A24" s="52" t="s">
        <v>0</v>
      </c>
      <c r="B24" s="52" t="s">
        <v>38</v>
      </c>
      <c r="C24" s="52" t="s">
        <v>292</v>
      </c>
      <c r="D24" s="53" t="s">
        <v>15</v>
      </c>
      <c r="E24" s="53" t="s">
        <v>126</v>
      </c>
      <c r="F24" s="53" t="s">
        <v>169</v>
      </c>
      <c r="G24" s="53" t="s">
        <v>172</v>
      </c>
      <c r="H24" s="53" t="s">
        <v>171</v>
      </c>
      <c r="I24" s="53" t="s">
        <v>130</v>
      </c>
      <c r="J24" s="53" t="s">
        <v>131</v>
      </c>
      <c r="K24" s="53" t="s">
        <v>16</v>
      </c>
      <c r="L24" s="53" t="s">
        <v>295</v>
      </c>
      <c r="M24" s="53" t="s">
        <v>254</v>
      </c>
      <c r="N24" s="53" t="s">
        <v>43</v>
      </c>
      <c r="O24" s="53" t="s">
        <v>4</v>
      </c>
      <c r="P24" s="53" t="s">
        <v>251</v>
      </c>
      <c r="Q24" s="53" t="s">
        <v>91</v>
      </c>
      <c r="R24" s="53" t="s">
        <v>269</v>
      </c>
      <c r="S24" s="53" t="s">
        <v>1</v>
      </c>
      <c r="T24" s="53" t="s">
        <v>1</v>
      </c>
      <c r="U24" s="53" t="s">
        <v>1</v>
      </c>
      <c r="V24" s="53" t="s">
        <v>1</v>
      </c>
      <c r="W24" s="53" t="s">
        <v>245</v>
      </c>
      <c r="X24" s="53" t="s">
        <v>1</v>
      </c>
      <c r="Y24" s="53" t="s">
        <v>1</v>
      </c>
      <c r="Z24" s="53" t="s">
        <v>1</v>
      </c>
      <c r="AA24" s="53" t="s">
        <v>1</v>
      </c>
      <c r="AB24" s="53"/>
      <c r="AC24" s="53"/>
      <c r="AD24" s="53"/>
      <c r="AE24" s="53"/>
      <c r="AF24" s="53"/>
      <c r="AG24" s="53"/>
      <c r="AH24" s="53"/>
      <c r="AI24" s="53"/>
      <c r="AJ24" s="53"/>
      <c r="AK24" s="53"/>
    </row>
    <row r="25" spans="1:37" ht="133.19999999999999" customHeight="1" x14ac:dyDescent="0.3">
      <c r="A25" s="52" t="s">
        <v>0</v>
      </c>
      <c r="B25" s="52" t="s">
        <v>38</v>
      </c>
      <c r="C25" s="52" t="s">
        <v>292</v>
      </c>
      <c r="D25" s="53" t="s">
        <v>15</v>
      </c>
      <c r="E25" s="53" t="s">
        <v>126</v>
      </c>
      <c r="F25" s="53" t="s">
        <v>153</v>
      </c>
      <c r="G25" s="53" t="s">
        <v>168</v>
      </c>
      <c r="H25" s="53" t="s">
        <v>166</v>
      </c>
      <c r="I25" s="53" t="s">
        <v>148</v>
      </c>
      <c r="J25" s="53" t="s">
        <v>523</v>
      </c>
      <c r="K25" s="53" t="s">
        <v>17</v>
      </c>
      <c r="L25" s="53" t="s">
        <v>296</v>
      </c>
      <c r="M25" s="53" t="s">
        <v>444</v>
      </c>
      <c r="N25" s="53" t="s">
        <v>43</v>
      </c>
      <c r="O25" s="53" t="s">
        <v>4</v>
      </c>
      <c r="P25" s="53" t="s">
        <v>251</v>
      </c>
      <c r="Q25" s="53" t="s">
        <v>91</v>
      </c>
      <c r="R25" s="53" t="s">
        <v>445</v>
      </c>
      <c r="S25" s="53" t="s">
        <v>1</v>
      </c>
      <c r="T25" s="53" t="s">
        <v>1</v>
      </c>
      <c r="U25" s="53" t="s">
        <v>241</v>
      </c>
      <c r="V25" s="53" t="s">
        <v>1</v>
      </c>
      <c r="W25" s="53" t="s">
        <v>245</v>
      </c>
      <c r="X25" s="53" t="s">
        <v>275</v>
      </c>
      <c r="Y25" s="53" t="s">
        <v>1</v>
      </c>
      <c r="Z25" s="53" t="s">
        <v>1</v>
      </c>
      <c r="AA25" s="53" t="s">
        <v>1</v>
      </c>
      <c r="AB25" s="53"/>
      <c r="AC25" s="53"/>
      <c r="AD25" s="53"/>
      <c r="AE25" s="53"/>
      <c r="AF25" s="53"/>
      <c r="AG25" s="53"/>
      <c r="AH25" s="53"/>
      <c r="AI25" s="53"/>
      <c r="AJ25" s="53"/>
      <c r="AK25" s="53"/>
    </row>
    <row r="26" spans="1:37" ht="133.19999999999999" customHeight="1" x14ac:dyDescent="0.3">
      <c r="A26" s="52" t="s">
        <v>0</v>
      </c>
      <c r="B26" s="52" t="s">
        <v>38</v>
      </c>
      <c r="C26" s="52" t="s">
        <v>292</v>
      </c>
      <c r="D26" s="53" t="s">
        <v>15</v>
      </c>
      <c r="E26" s="53" t="s">
        <v>126</v>
      </c>
      <c r="F26" s="53" t="s">
        <v>133</v>
      </c>
      <c r="G26" s="53" t="s">
        <v>165</v>
      </c>
      <c r="H26" s="53" t="s">
        <v>166</v>
      </c>
      <c r="I26" s="53" t="s">
        <v>148</v>
      </c>
      <c r="J26" s="53" t="s">
        <v>523</v>
      </c>
      <c r="K26" s="53" t="s">
        <v>17</v>
      </c>
      <c r="L26" s="53" t="s">
        <v>297</v>
      </c>
      <c r="M26" s="53" t="s">
        <v>518</v>
      </c>
      <c r="N26" s="53" t="s">
        <v>3</v>
      </c>
      <c r="O26" s="53" t="s">
        <v>85</v>
      </c>
      <c r="P26" s="53" t="s">
        <v>251</v>
      </c>
      <c r="Q26" s="53" t="s">
        <v>208</v>
      </c>
      <c r="R26" s="53" t="s">
        <v>525</v>
      </c>
      <c r="S26" s="53" t="s">
        <v>1</v>
      </c>
      <c r="T26" s="53" t="s">
        <v>1</v>
      </c>
      <c r="U26" s="53" t="s">
        <v>1</v>
      </c>
      <c r="V26" s="53" t="s">
        <v>526</v>
      </c>
      <c r="W26" s="53" t="s">
        <v>245</v>
      </c>
      <c r="X26" s="53" t="s">
        <v>275</v>
      </c>
      <c r="Y26" s="53" t="s">
        <v>1</v>
      </c>
      <c r="Z26" s="53" t="s">
        <v>1</v>
      </c>
      <c r="AA26" s="53" t="s">
        <v>1</v>
      </c>
      <c r="AB26" s="53"/>
      <c r="AC26" s="53"/>
      <c r="AD26" s="53"/>
      <c r="AE26" s="53"/>
      <c r="AF26" s="53"/>
      <c r="AG26" s="53"/>
      <c r="AH26" s="53"/>
      <c r="AI26" s="53"/>
      <c r="AJ26" s="53"/>
      <c r="AK26" s="53"/>
    </row>
    <row r="27" spans="1:37" ht="175.2" customHeight="1" x14ac:dyDescent="0.3">
      <c r="A27" s="52" t="s">
        <v>0</v>
      </c>
      <c r="B27" s="52" t="s">
        <v>38</v>
      </c>
      <c r="C27" s="52" t="s">
        <v>292</v>
      </c>
      <c r="D27" s="53" t="s">
        <v>15</v>
      </c>
      <c r="E27" s="53" t="s">
        <v>126</v>
      </c>
      <c r="F27" s="53" t="s">
        <v>153</v>
      </c>
      <c r="G27" s="53" t="s">
        <v>146</v>
      </c>
      <c r="H27" s="53" t="s">
        <v>154</v>
      </c>
      <c r="I27" s="53" t="s">
        <v>148</v>
      </c>
      <c r="J27" s="53" t="s">
        <v>523</v>
      </c>
      <c r="K27" s="53" t="s">
        <v>18</v>
      </c>
      <c r="L27" s="53" t="s">
        <v>298</v>
      </c>
      <c r="M27" s="53" t="s">
        <v>174</v>
      </c>
      <c r="N27" s="53" t="s">
        <v>3</v>
      </c>
      <c r="O27" s="53" t="s">
        <v>4</v>
      </c>
      <c r="P27" s="53" t="s">
        <v>251</v>
      </c>
      <c r="Q27" s="53" t="s">
        <v>90</v>
      </c>
      <c r="R27" s="53" t="s">
        <v>446</v>
      </c>
      <c r="S27" s="53" t="s">
        <v>447</v>
      </c>
      <c r="T27" s="54" t="s">
        <v>1</v>
      </c>
      <c r="U27" s="53" t="s">
        <v>241</v>
      </c>
      <c r="V27" s="53" t="s">
        <v>262</v>
      </c>
      <c r="W27" s="53" t="s">
        <v>448</v>
      </c>
      <c r="X27" s="53" t="s">
        <v>275</v>
      </c>
      <c r="Y27" s="53" t="s">
        <v>1</v>
      </c>
      <c r="Z27" s="53" t="s">
        <v>1</v>
      </c>
      <c r="AA27" s="53" t="s">
        <v>1</v>
      </c>
      <c r="AB27" s="53"/>
      <c r="AC27" s="53"/>
      <c r="AD27" s="53"/>
      <c r="AE27" s="53"/>
      <c r="AF27" s="53"/>
      <c r="AG27" s="53"/>
      <c r="AH27" s="53"/>
      <c r="AI27" s="53"/>
      <c r="AJ27" s="53"/>
      <c r="AK27" s="53"/>
    </row>
    <row r="28" spans="1:37" ht="159.6" customHeight="1" x14ac:dyDescent="0.3">
      <c r="A28" s="52" t="s">
        <v>0</v>
      </c>
      <c r="B28" s="52" t="s">
        <v>38</v>
      </c>
      <c r="C28" s="52" t="s">
        <v>292</v>
      </c>
      <c r="D28" s="53" t="s">
        <v>15</v>
      </c>
      <c r="E28" s="53" t="s">
        <v>126</v>
      </c>
      <c r="F28" s="53" t="s">
        <v>169</v>
      </c>
      <c r="G28" s="53" t="s">
        <v>172</v>
      </c>
      <c r="H28" s="53" t="s">
        <v>171</v>
      </c>
      <c r="I28" s="53" t="s">
        <v>130</v>
      </c>
      <c r="J28" s="53" t="s">
        <v>131</v>
      </c>
      <c r="K28" s="53" t="s">
        <v>18</v>
      </c>
      <c r="L28" s="53" t="s">
        <v>298</v>
      </c>
      <c r="M28" s="53" t="s">
        <v>174</v>
      </c>
      <c r="N28" s="53" t="s">
        <v>3</v>
      </c>
      <c r="O28" s="53" t="s">
        <v>4</v>
      </c>
      <c r="P28" s="53" t="s">
        <v>251</v>
      </c>
      <c r="Q28" s="53" t="s">
        <v>90</v>
      </c>
      <c r="R28" s="53" t="s">
        <v>446</v>
      </c>
      <c r="S28" s="53" t="s">
        <v>447</v>
      </c>
      <c r="T28" s="54" t="s">
        <v>1</v>
      </c>
      <c r="U28" s="53" t="s">
        <v>241</v>
      </c>
      <c r="V28" s="53" t="s">
        <v>262</v>
      </c>
      <c r="W28" s="53" t="s">
        <v>448</v>
      </c>
      <c r="X28" s="53" t="s">
        <v>275</v>
      </c>
      <c r="Y28" s="53" t="s">
        <v>1</v>
      </c>
      <c r="Z28" s="53" t="s">
        <v>1</v>
      </c>
      <c r="AA28" s="53" t="s">
        <v>1</v>
      </c>
      <c r="AB28" s="53"/>
      <c r="AC28" s="53"/>
      <c r="AD28" s="53"/>
      <c r="AE28" s="53"/>
      <c r="AF28" s="53"/>
      <c r="AG28" s="53"/>
      <c r="AH28" s="53"/>
      <c r="AI28" s="53"/>
      <c r="AJ28" s="53"/>
      <c r="AK28" s="53"/>
    </row>
    <row r="29" spans="1:37" ht="133.19999999999999" customHeight="1" x14ac:dyDescent="0.3">
      <c r="A29" s="52" t="s">
        <v>0</v>
      </c>
      <c r="B29" s="52" t="s">
        <v>38</v>
      </c>
      <c r="C29" s="52" t="s">
        <v>292</v>
      </c>
      <c r="D29" s="53" t="s">
        <v>15</v>
      </c>
      <c r="E29" s="53" t="s">
        <v>149</v>
      </c>
      <c r="F29" s="53" t="s">
        <v>175</v>
      </c>
      <c r="G29" s="53" t="s">
        <v>176</v>
      </c>
      <c r="H29" s="53" t="s">
        <v>177</v>
      </c>
      <c r="I29" s="53" t="s">
        <v>130</v>
      </c>
      <c r="J29" s="53" t="s">
        <v>131</v>
      </c>
      <c r="K29" s="53" t="s">
        <v>18</v>
      </c>
      <c r="L29" s="53" t="s">
        <v>299</v>
      </c>
      <c r="M29" s="53" t="s">
        <v>178</v>
      </c>
      <c r="N29" s="53" t="s">
        <v>3</v>
      </c>
      <c r="O29" s="53" t="s">
        <v>4</v>
      </c>
      <c r="P29" s="53" t="s">
        <v>251</v>
      </c>
      <c r="Q29" s="53" t="s">
        <v>90</v>
      </c>
      <c r="R29" s="53" t="s">
        <v>361</v>
      </c>
      <c r="S29" s="53" t="s">
        <v>300</v>
      </c>
      <c r="T29" s="53" t="s">
        <v>300</v>
      </c>
      <c r="U29" s="53" t="s">
        <v>300</v>
      </c>
      <c r="V29" s="53" t="s">
        <v>300</v>
      </c>
      <c r="W29" s="53" t="s">
        <v>300</v>
      </c>
      <c r="X29" s="53" t="s">
        <v>275</v>
      </c>
      <c r="Y29" s="53" t="s">
        <v>300</v>
      </c>
      <c r="Z29" s="53" t="s">
        <v>300</v>
      </c>
      <c r="AA29" s="53" t="s">
        <v>300</v>
      </c>
      <c r="AB29" s="53"/>
      <c r="AC29" s="53"/>
      <c r="AD29" s="53"/>
      <c r="AE29" s="53"/>
      <c r="AF29" s="53"/>
      <c r="AG29" s="53"/>
      <c r="AH29" s="53"/>
      <c r="AI29" s="53"/>
      <c r="AJ29" s="53"/>
      <c r="AK29" s="53"/>
    </row>
    <row r="30" spans="1:37" ht="53.4" customHeight="1" x14ac:dyDescent="0.3">
      <c r="A30" s="52" t="s">
        <v>0</v>
      </c>
      <c r="B30" s="52" t="s">
        <v>38</v>
      </c>
      <c r="C30" s="52" t="s">
        <v>301</v>
      </c>
      <c r="D30" s="53" t="s">
        <v>49</v>
      </c>
      <c r="E30" s="53" t="s">
        <v>126</v>
      </c>
      <c r="F30" s="53" t="s">
        <v>136</v>
      </c>
      <c r="G30" s="53" t="s">
        <v>179</v>
      </c>
      <c r="H30" s="53" t="s">
        <v>180</v>
      </c>
      <c r="I30" s="53" t="s">
        <v>130</v>
      </c>
      <c r="J30" s="53" t="s">
        <v>131</v>
      </c>
      <c r="K30" s="53" t="s">
        <v>109</v>
      </c>
      <c r="L30" s="53" t="s">
        <v>302</v>
      </c>
      <c r="M30" s="53" t="s">
        <v>96</v>
      </c>
      <c r="N30" s="53" t="s">
        <v>3</v>
      </c>
      <c r="O30" s="53" t="s">
        <v>4</v>
      </c>
      <c r="P30" s="53" t="s">
        <v>251</v>
      </c>
      <c r="Q30" s="53" t="s">
        <v>90</v>
      </c>
      <c r="R30" s="71" t="s">
        <v>559</v>
      </c>
      <c r="S30" s="53" t="s">
        <v>441</v>
      </c>
      <c r="T30" s="54" t="s">
        <v>1</v>
      </c>
      <c r="U30" s="53" t="s">
        <v>241</v>
      </c>
      <c r="V30" s="53" t="s">
        <v>270</v>
      </c>
      <c r="W30" s="53" t="s">
        <v>245</v>
      </c>
      <c r="X30" s="53" t="s">
        <v>275</v>
      </c>
      <c r="Y30" s="53" t="s">
        <v>1</v>
      </c>
      <c r="Z30" s="53" t="s">
        <v>1</v>
      </c>
      <c r="AA30" s="53" t="s">
        <v>1</v>
      </c>
      <c r="AB30" s="53"/>
      <c r="AC30" s="53"/>
      <c r="AD30" s="53"/>
      <c r="AE30" s="53"/>
      <c r="AF30" s="53"/>
      <c r="AG30" s="53"/>
      <c r="AH30" s="53"/>
      <c r="AI30" s="53"/>
      <c r="AJ30" s="53"/>
      <c r="AK30" s="53"/>
    </row>
    <row r="31" spans="1:37" ht="70.2" customHeight="1" x14ac:dyDescent="0.3">
      <c r="A31" s="52" t="s">
        <v>0</v>
      </c>
      <c r="B31" s="52" t="s">
        <v>38</v>
      </c>
      <c r="C31" s="52" t="s">
        <v>301</v>
      </c>
      <c r="D31" s="53" t="s">
        <v>49</v>
      </c>
      <c r="E31" s="53" t="s">
        <v>126</v>
      </c>
      <c r="F31" s="53" t="s">
        <v>136</v>
      </c>
      <c r="G31" s="53" t="s">
        <v>179</v>
      </c>
      <c r="H31" s="53" t="s">
        <v>181</v>
      </c>
      <c r="I31" s="53" t="s">
        <v>130</v>
      </c>
      <c r="J31" s="53" t="s">
        <v>131</v>
      </c>
      <c r="K31" s="53" t="s">
        <v>50</v>
      </c>
      <c r="L31" s="53" t="s">
        <v>303</v>
      </c>
      <c r="M31" s="53" t="s">
        <v>81</v>
      </c>
      <c r="N31" s="53" t="s">
        <v>3</v>
      </c>
      <c r="O31" s="53" t="s">
        <v>4</v>
      </c>
      <c r="P31" s="53" t="s">
        <v>251</v>
      </c>
      <c r="Q31" s="53" t="s">
        <v>90</v>
      </c>
      <c r="R31" s="53" t="s">
        <v>449</v>
      </c>
      <c r="S31" s="53" t="s">
        <v>441</v>
      </c>
      <c r="T31" s="54" t="s">
        <v>1</v>
      </c>
      <c r="U31" s="53" t="s">
        <v>241</v>
      </c>
      <c r="V31" s="53" t="s">
        <v>270</v>
      </c>
      <c r="W31" s="53" t="s">
        <v>271</v>
      </c>
      <c r="X31" s="53" t="s">
        <v>275</v>
      </c>
      <c r="Y31" s="53" t="s">
        <v>1</v>
      </c>
      <c r="Z31" s="53" t="s">
        <v>1</v>
      </c>
      <c r="AA31" s="53" t="s">
        <v>1</v>
      </c>
      <c r="AB31" s="53"/>
      <c r="AC31" s="53"/>
      <c r="AD31" s="53"/>
      <c r="AE31" s="53"/>
      <c r="AF31" s="53"/>
      <c r="AG31" s="53"/>
      <c r="AH31" s="53"/>
      <c r="AI31" s="53"/>
      <c r="AJ31" s="53"/>
      <c r="AK31" s="53"/>
    </row>
    <row r="32" spans="1:37" ht="78.599999999999994" customHeight="1" x14ac:dyDescent="0.3">
      <c r="A32" s="52" t="s">
        <v>0</v>
      </c>
      <c r="B32" s="52" t="s">
        <v>38</v>
      </c>
      <c r="C32" s="52" t="s">
        <v>301</v>
      </c>
      <c r="D32" s="53" t="s">
        <v>49</v>
      </c>
      <c r="E32" s="53" t="s">
        <v>126</v>
      </c>
      <c r="F32" s="53" t="s">
        <v>133</v>
      </c>
      <c r="G32" s="53" t="s">
        <v>165</v>
      </c>
      <c r="H32" s="53" t="s">
        <v>166</v>
      </c>
      <c r="I32" s="53" t="s">
        <v>148</v>
      </c>
      <c r="J32" s="53" t="s">
        <v>523</v>
      </c>
      <c r="K32" s="53" t="s">
        <v>51</v>
      </c>
      <c r="L32" s="53" t="s">
        <v>304</v>
      </c>
      <c r="M32" s="53" t="s">
        <v>182</v>
      </c>
      <c r="N32" s="53" t="s">
        <v>3</v>
      </c>
      <c r="O32" s="53" t="s">
        <v>4</v>
      </c>
      <c r="P32" s="53" t="s">
        <v>251</v>
      </c>
      <c r="Q32" s="53" t="s">
        <v>183</v>
      </c>
      <c r="R32" s="53" t="s">
        <v>450</v>
      </c>
      <c r="S32" s="53" t="s">
        <v>441</v>
      </c>
      <c r="T32" s="54" t="s">
        <v>1</v>
      </c>
      <c r="U32" s="53" t="s">
        <v>241</v>
      </c>
      <c r="V32" s="53" t="s">
        <v>270</v>
      </c>
      <c r="W32" s="53" t="s">
        <v>245</v>
      </c>
      <c r="X32" s="53" t="s">
        <v>275</v>
      </c>
      <c r="Y32" s="53" t="s">
        <v>1</v>
      </c>
      <c r="Z32" s="53" t="s">
        <v>1</v>
      </c>
      <c r="AA32" s="53" t="s">
        <v>1</v>
      </c>
      <c r="AB32" s="53"/>
      <c r="AC32" s="53"/>
      <c r="AD32" s="53"/>
      <c r="AE32" s="53"/>
      <c r="AF32" s="53"/>
      <c r="AG32" s="53"/>
      <c r="AH32" s="53"/>
      <c r="AI32" s="53"/>
      <c r="AJ32" s="53"/>
      <c r="AK32" s="53"/>
    </row>
    <row r="33" spans="1:37" ht="82.2" customHeight="1" x14ac:dyDescent="0.3">
      <c r="A33" s="52" t="s">
        <v>0</v>
      </c>
      <c r="B33" s="52" t="s">
        <v>38</v>
      </c>
      <c r="C33" s="52" t="s">
        <v>301</v>
      </c>
      <c r="D33" s="53" t="s">
        <v>49</v>
      </c>
      <c r="E33" s="53" t="s">
        <v>126</v>
      </c>
      <c r="F33" s="53" t="s">
        <v>184</v>
      </c>
      <c r="G33" s="53" t="s">
        <v>185</v>
      </c>
      <c r="H33" s="53" t="s">
        <v>186</v>
      </c>
      <c r="I33" s="53" t="s">
        <v>187</v>
      </c>
      <c r="J33" s="53" t="s">
        <v>131</v>
      </c>
      <c r="K33" s="53" t="s">
        <v>52</v>
      </c>
      <c r="L33" s="53" t="s">
        <v>266</v>
      </c>
      <c r="M33" s="53" t="s">
        <v>82</v>
      </c>
      <c r="N33" s="53" t="s">
        <v>3</v>
      </c>
      <c r="O33" s="53" t="s">
        <v>4</v>
      </c>
      <c r="P33" s="53" t="s">
        <v>251</v>
      </c>
      <c r="Q33" s="53" t="s">
        <v>91</v>
      </c>
      <c r="R33" s="62" t="s">
        <v>560</v>
      </c>
      <c r="S33" s="53" t="s">
        <v>540</v>
      </c>
      <c r="T33" s="53" t="s">
        <v>541</v>
      </c>
      <c r="U33" s="53" t="s">
        <v>1</v>
      </c>
      <c r="V33" s="53" t="s">
        <v>451</v>
      </c>
      <c r="W33" s="53" t="s">
        <v>545</v>
      </c>
      <c r="X33" s="53" t="s">
        <v>275</v>
      </c>
      <c r="Y33" s="53" t="s">
        <v>1</v>
      </c>
      <c r="Z33" s="53" t="s">
        <v>1</v>
      </c>
      <c r="AA33" s="53" t="s">
        <v>1</v>
      </c>
      <c r="AB33" s="53"/>
      <c r="AC33" s="53"/>
      <c r="AD33" s="53"/>
      <c r="AE33" s="53"/>
      <c r="AF33" s="53"/>
      <c r="AG33" s="53"/>
      <c r="AH33" s="53"/>
      <c r="AI33" s="53"/>
      <c r="AJ33" s="53"/>
      <c r="AK33" s="53"/>
    </row>
    <row r="34" spans="1:37" ht="88.2" customHeight="1" x14ac:dyDescent="0.3">
      <c r="A34" s="52" t="s">
        <v>0</v>
      </c>
      <c r="B34" s="52" t="s">
        <v>38</v>
      </c>
      <c r="C34" s="52" t="s">
        <v>301</v>
      </c>
      <c r="D34" s="53" t="s">
        <v>49</v>
      </c>
      <c r="E34" s="53" t="s">
        <v>126</v>
      </c>
      <c r="F34" s="53" t="s">
        <v>184</v>
      </c>
      <c r="G34" s="53" t="s">
        <v>185</v>
      </c>
      <c r="H34" s="53" t="s">
        <v>186</v>
      </c>
      <c r="I34" s="53" t="s">
        <v>187</v>
      </c>
      <c r="J34" s="53" t="s">
        <v>131</v>
      </c>
      <c r="K34" s="53" t="s">
        <v>52</v>
      </c>
      <c r="L34" s="53" t="s">
        <v>267</v>
      </c>
      <c r="M34" s="53" t="s">
        <v>53</v>
      </c>
      <c r="N34" s="53" t="s">
        <v>3</v>
      </c>
      <c r="O34" s="53" t="s">
        <v>4</v>
      </c>
      <c r="P34" s="53" t="s">
        <v>251</v>
      </c>
      <c r="Q34" s="53" t="s">
        <v>90</v>
      </c>
      <c r="R34" s="62" t="s">
        <v>509</v>
      </c>
      <c r="S34" s="53" t="s">
        <v>441</v>
      </c>
      <c r="T34" s="60" t="s">
        <v>542</v>
      </c>
      <c r="U34" s="53" t="s">
        <v>1</v>
      </c>
      <c r="V34" s="53" t="s">
        <v>1</v>
      </c>
      <c r="W34" s="53" t="s">
        <v>245</v>
      </c>
      <c r="X34" s="53" t="s">
        <v>275</v>
      </c>
      <c r="Y34" s="53" t="s">
        <v>1</v>
      </c>
      <c r="Z34" s="53" t="s">
        <v>1</v>
      </c>
      <c r="AA34" s="53" t="s">
        <v>1</v>
      </c>
      <c r="AB34" s="53"/>
      <c r="AC34" s="53"/>
      <c r="AD34" s="53"/>
      <c r="AE34" s="53"/>
      <c r="AF34" s="53"/>
      <c r="AG34" s="53"/>
      <c r="AH34" s="53"/>
      <c r="AI34" s="53"/>
      <c r="AJ34" s="53"/>
      <c r="AK34" s="53"/>
    </row>
    <row r="35" spans="1:37" ht="133.19999999999999" customHeight="1" x14ac:dyDescent="0.3">
      <c r="A35" s="52" t="s">
        <v>0</v>
      </c>
      <c r="B35" s="52" t="s">
        <v>38</v>
      </c>
      <c r="C35" s="52" t="s">
        <v>301</v>
      </c>
      <c r="D35" s="53" t="s">
        <v>49</v>
      </c>
      <c r="E35" s="53" t="s">
        <v>126</v>
      </c>
      <c r="F35" s="53" t="s">
        <v>136</v>
      </c>
      <c r="G35" s="53" t="s">
        <v>179</v>
      </c>
      <c r="H35" s="53" t="s">
        <v>188</v>
      </c>
      <c r="I35" s="53" t="s">
        <v>189</v>
      </c>
      <c r="J35" s="53" t="s">
        <v>131</v>
      </c>
      <c r="K35" s="53" t="s">
        <v>109</v>
      </c>
      <c r="L35" s="53" t="s">
        <v>305</v>
      </c>
      <c r="M35" s="53" t="s">
        <v>272</v>
      </c>
      <c r="N35" s="53" t="s">
        <v>19</v>
      </c>
      <c r="O35" s="53" t="s">
        <v>4</v>
      </c>
      <c r="P35" s="53" t="s">
        <v>251</v>
      </c>
      <c r="Q35" s="53" t="s">
        <v>91</v>
      </c>
      <c r="R35" s="72" t="s">
        <v>561</v>
      </c>
      <c r="S35" s="53" t="s">
        <v>441</v>
      </c>
      <c r="T35" s="54" t="s">
        <v>1</v>
      </c>
      <c r="U35" s="53" t="s">
        <v>241</v>
      </c>
      <c r="V35" s="53" t="s">
        <v>270</v>
      </c>
      <c r="W35" s="53" t="s">
        <v>245</v>
      </c>
      <c r="X35" s="53" t="s">
        <v>275</v>
      </c>
      <c r="Y35" s="53" t="s">
        <v>1</v>
      </c>
      <c r="Z35" s="53" t="s">
        <v>1</v>
      </c>
      <c r="AA35" s="53" t="s">
        <v>1</v>
      </c>
      <c r="AB35" s="53"/>
      <c r="AC35" s="53"/>
      <c r="AD35" s="53"/>
      <c r="AE35" s="53"/>
      <c r="AF35" s="53"/>
      <c r="AG35" s="53"/>
      <c r="AH35" s="53"/>
      <c r="AI35" s="53"/>
      <c r="AJ35" s="53"/>
      <c r="AK35" s="53"/>
    </row>
    <row r="36" spans="1:37" s="8" customFormat="1" ht="57.6" customHeight="1" x14ac:dyDescent="0.3">
      <c r="A36" s="57" t="s">
        <v>190</v>
      </c>
      <c r="B36" s="57" t="s">
        <v>191</v>
      </c>
      <c r="C36" s="57" t="s">
        <v>301</v>
      </c>
      <c r="D36" s="58" t="s">
        <v>192</v>
      </c>
      <c r="E36" s="58" t="s">
        <v>193</v>
      </c>
      <c r="F36" s="58" t="s">
        <v>194</v>
      </c>
      <c r="G36" s="58" t="s">
        <v>195</v>
      </c>
      <c r="H36" s="58" t="s">
        <v>196</v>
      </c>
      <c r="I36" s="58" t="s">
        <v>197</v>
      </c>
      <c r="J36" s="66" t="s">
        <v>527</v>
      </c>
      <c r="K36" s="58" t="s">
        <v>198</v>
      </c>
      <c r="L36" s="53" t="s">
        <v>306</v>
      </c>
      <c r="M36" s="58" t="s">
        <v>452</v>
      </c>
      <c r="N36" s="58" t="s">
        <v>199</v>
      </c>
      <c r="O36" s="58" t="s">
        <v>200</v>
      </c>
      <c r="P36" s="53" t="s">
        <v>251</v>
      </c>
      <c r="Q36" s="59" t="s">
        <v>173</v>
      </c>
      <c r="R36" s="59" t="s">
        <v>453</v>
      </c>
      <c r="S36" s="53" t="s">
        <v>1</v>
      </c>
      <c r="T36" s="53" t="s">
        <v>1</v>
      </c>
      <c r="U36" s="53" t="s">
        <v>1</v>
      </c>
      <c r="V36" s="53" t="s">
        <v>1</v>
      </c>
      <c r="W36" s="53" t="s">
        <v>245</v>
      </c>
      <c r="X36" s="53" t="s">
        <v>1</v>
      </c>
      <c r="Y36" s="53" t="s">
        <v>1</v>
      </c>
      <c r="Z36" s="53" t="s">
        <v>1</v>
      </c>
      <c r="AA36" s="53" t="s">
        <v>1</v>
      </c>
      <c r="AB36" s="53"/>
      <c r="AC36" s="53"/>
      <c r="AD36" s="53"/>
      <c r="AE36" s="53"/>
      <c r="AF36" s="53"/>
      <c r="AG36" s="53"/>
      <c r="AH36" s="53"/>
      <c r="AI36" s="53"/>
      <c r="AJ36" s="53"/>
      <c r="AK36" s="53"/>
    </row>
    <row r="37" spans="1:37" s="9" customFormat="1" ht="57.6" customHeight="1" x14ac:dyDescent="0.3">
      <c r="A37" s="57" t="s">
        <v>190</v>
      </c>
      <c r="B37" s="57" t="s">
        <v>191</v>
      </c>
      <c r="C37" s="57" t="s">
        <v>301</v>
      </c>
      <c r="D37" s="58" t="s">
        <v>192</v>
      </c>
      <c r="E37" s="58" t="s">
        <v>193</v>
      </c>
      <c r="F37" s="58" t="s">
        <v>201</v>
      </c>
      <c r="G37" s="58" t="s">
        <v>202</v>
      </c>
      <c r="H37" s="58" t="s">
        <v>203</v>
      </c>
      <c r="I37" s="58" t="s">
        <v>204</v>
      </c>
      <c r="J37" s="58" t="s">
        <v>528</v>
      </c>
      <c r="K37" s="58" t="s">
        <v>205</v>
      </c>
      <c r="L37" s="53" t="s">
        <v>306</v>
      </c>
      <c r="M37" s="58" t="s">
        <v>452</v>
      </c>
      <c r="N37" s="58" t="s">
        <v>199</v>
      </c>
      <c r="O37" s="58" t="s">
        <v>206</v>
      </c>
      <c r="P37" s="53" t="s">
        <v>251</v>
      </c>
      <c r="Q37" s="56" t="s">
        <v>131</v>
      </c>
      <c r="R37" s="59" t="s">
        <v>453</v>
      </c>
      <c r="S37" s="53" t="s">
        <v>1</v>
      </c>
      <c r="T37" s="53" t="s">
        <v>1</v>
      </c>
      <c r="U37" s="53" t="s">
        <v>1</v>
      </c>
      <c r="V37" s="53" t="s">
        <v>1</v>
      </c>
      <c r="W37" s="53" t="s">
        <v>245</v>
      </c>
      <c r="X37" s="53" t="s">
        <v>1</v>
      </c>
      <c r="Y37" s="53" t="s">
        <v>1</v>
      </c>
      <c r="Z37" s="53" t="s">
        <v>1</v>
      </c>
      <c r="AA37" s="53" t="s">
        <v>1</v>
      </c>
      <c r="AB37" s="53"/>
      <c r="AC37" s="53"/>
      <c r="AD37" s="53"/>
      <c r="AE37" s="53"/>
      <c r="AF37" s="53"/>
      <c r="AG37" s="53"/>
      <c r="AH37" s="53"/>
      <c r="AI37" s="53"/>
      <c r="AJ37" s="53"/>
      <c r="AK37" s="53"/>
    </row>
    <row r="38" spans="1:37" ht="133.19999999999999" customHeight="1" x14ac:dyDescent="0.3">
      <c r="A38" s="52" t="s">
        <v>0</v>
      </c>
      <c r="B38" s="52" t="s">
        <v>38</v>
      </c>
      <c r="C38" s="52" t="s">
        <v>307</v>
      </c>
      <c r="D38" s="53" t="s">
        <v>54</v>
      </c>
      <c r="E38" s="53" t="s">
        <v>126</v>
      </c>
      <c r="F38" s="53" t="s">
        <v>133</v>
      </c>
      <c r="G38" s="53" t="s">
        <v>165</v>
      </c>
      <c r="H38" s="53" t="s">
        <v>207</v>
      </c>
      <c r="I38" s="53" t="s">
        <v>148</v>
      </c>
      <c r="J38" s="53" t="s">
        <v>523</v>
      </c>
      <c r="K38" s="53" t="s">
        <v>20</v>
      </c>
      <c r="L38" s="53" t="s">
        <v>308</v>
      </c>
      <c r="M38" s="53" t="s">
        <v>454</v>
      </c>
      <c r="N38" s="53" t="s">
        <v>43</v>
      </c>
      <c r="O38" s="53" t="s">
        <v>4</v>
      </c>
      <c r="P38" s="53" t="s">
        <v>251</v>
      </c>
      <c r="Q38" s="53" t="s">
        <v>91</v>
      </c>
      <c r="R38" s="53" t="s">
        <v>455</v>
      </c>
      <c r="S38" s="53" t="s">
        <v>1</v>
      </c>
      <c r="T38" s="53" t="s">
        <v>1</v>
      </c>
      <c r="U38" s="53" t="s">
        <v>241</v>
      </c>
      <c r="V38" s="53" t="s">
        <v>1</v>
      </c>
      <c r="W38" s="53" t="s">
        <v>245</v>
      </c>
      <c r="X38" s="53" t="s">
        <v>275</v>
      </c>
      <c r="Y38" s="53" t="s">
        <v>1</v>
      </c>
      <c r="Z38" s="53" t="s">
        <v>1</v>
      </c>
      <c r="AA38" s="53" t="s">
        <v>1</v>
      </c>
      <c r="AB38" s="53"/>
      <c r="AC38" s="53"/>
      <c r="AD38" s="53"/>
      <c r="AE38" s="53"/>
      <c r="AF38" s="53"/>
      <c r="AG38" s="53"/>
      <c r="AH38" s="53"/>
      <c r="AI38" s="53"/>
      <c r="AJ38" s="53"/>
      <c r="AK38" s="53"/>
    </row>
    <row r="39" spans="1:37" ht="133.19999999999999" customHeight="1" x14ac:dyDescent="0.3">
      <c r="A39" s="52" t="s">
        <v>0</v>
      </c>
      <c r="B39" s="52" t="s">
        <v>38</v>
      </c>
      <c r="C39" s="52" t="s">
        <v>307</v>
      </c>
      <c r="D39" s="53" t="s">
        <v>54</v>
      </c>
      <c r="E39" s="53" t="s">
        <v>126</v>
      </c>
      <c r="F39" s="53" t="s">
        <v>133</v>
      </c>
      <c r="G39" s="53" t="s">
        <v>165</v>
      </c>
      <c r="H39" s="53" t="s">
        <v>166</v>
      </c>
      <c r="I39" s="53" t="s">
        <v>148</v>
      </c>
      <c r="J39" s="53" t="s">
        <v>523</v>
      </c>
      <c r="K39" s="53" t="s">
        <v>110</v>
      </c>
      <c r="L39" s="53" t="s">
        <v>309</v>
      </c>
      <c r="M39" s="53" t="s">
        <v>456</v>
      </c>
      <c r="N39" s="53" t="s">
        <v>43</v>
      </c>
      <c r="O39" s="53" t="s">
        <v>4</v>
      </c>
      <c r="P39" s="53" t="s">
        <v>251</v>
      </c>
      <c r="Q39" s="53" t="s">
        <v>91</v>
      </c>
      <c r="R39" s="53" t="s">
        <v>457</v>
      </c>
      <c r="S39" s="53" t="s">
        <v>1</v>
      </c>
      <c r="T39" s="53" t="s">
        <v>1</v>
      </c>
      <c r="U39" s="53" t="s">
        <v>241</v>
      </c>
      <c r="V39" s="53" t="s">
        <v>1</v>
      </c>
      <c r="W39" s="53" t="s">
        <v>245</v>
      </c>
      <c r="X39" s="53" t="s">
        <v>275</v>
      </c>
      <c r="Y39" s="53" t="s">
        <v>1</v>
      </c>
      <c r="Z39" s="53" t="s">
        <v>1</v>
      </c>
      <c r="AA39" s="53" t="s">
        <v>1</v>
      </c>
      <c r="AB39" s="53"/>
      <c r="AC39" s="53"/>
      <c r="AD39" s="53"/>
      <c r="AE39" s="53"/>
      <c r="AF39" s="53"/>
      <c r="AG39" s="53"/>
      <c r="AH39" s="53"/>
      <c r="AI39" s="53"/>
      <c r="AJ39" s="53"/>
      <c r="AK39" s="53"/>
    </row>
    <row r="40" spans="1:37" ht="133.19999999999999" customHeight="1" x14ac:dyDescent="0.3">
      <c r="A40" s="52" t="s">
        <v>0</v>
      </c>
      <c r="B40" s="52" t="s">
        <v>38</v>
      </c>
      <c r="C40" s="52" t="s">
        <v>307</v>
      </c>
      <c r="D40" s="53" t="s">
        <v>54</v>
      </c>
      <c r="E40" s="53" t="s">
        <v>126</v>
      </c>
      <c r="F40" s="53" t="s">
        <v>133</v>
      </c>
      <c r="G40" s="53" t="s">
        <v>165</v>
      </c>
      <c r="H40" s="53" t="s">
        <v>166</v>
      </c>
      <c r="I40" s="53" t="s">
        <v>148</v>
      </c>
      <c r="J40" s="53" t="s">
        <v>523</v>
      </c>
      <c r="K40" s="53" t="s">
        <v>55</v>
      </c>
      <c r="L40" s="53" t="s">
        <v>268</v>
      </c>
      <c r="M40" s="55" t="s">
        <v>112</v>
      </c>
      <c r="N40" s="53" t="s">
        <v>48</v>
      </c>
      <c r="O40" s="53" t="s">
        <v>4</v>
      </c>
      <c r="P40" s="53" t="s">
        <v>251</v>
      </c>
      <c r="Q40" s="53" t="s">
        <v>91</v>
      </c>
      <c r="R40" s="53" t="s">
        <v>458</v>
      </c>
      <c r="S40" s="53" t="s">
        <v>1</v>
      </c>
      <c r="T40" s="53" t="s">
        <v>1</v>
      </c>
      <c r="U40" s="53" t="s">
        <v>241</v>
      </c>
      <c r="V40" s="53" t="s">
        <v>362</v>
      </c>
      <c r="W40" s="53" t="s">
        <v>245</v>
      </c>
      <c r="X40" s="53" t="s">
        <v>275</v>
      </c>
      <c r="Y40" s="53" t="s">
        <v>1</v>
      </c>
      <c r="Z40" s="53" t="s">
        <v>1</v>
      </c>
      <c r="AA40" s="53" t="s">
        <v>1</v>
      </c>
      <c r="AB40" s="53"/>
      <c r="AC40" s="53"/>
      <c r="AD40" s="53"/>
      <c r="AE40" s="53"/>
      <c r="AF40" s="53"/>
      <c r="AG40" s="53"/>
      <c r="AH40" s="53"/>
      <c r="AI40" s="53"/>
      <c r="AJ40" s="53"/>
      <c r="AK40" s="53"/>
    </row>
    <row r="41" spans="1:37" ht="103.2" customHeight="1" x14ac:dyDescent="0.3">
      <c r="A41" s="52" t="s">
        <v>0</v>
      </c>
      <c r="B41" s="52" t="s">
        <v>38</v>
      </c>
      <c r="C41" s="52" t="s">
        <v>307</v>
      </c>
      <c r="D41" s="53" t="s">
        <v>54</v>
      </c>
      <c r="E41" s="53" t="s">
        <v>126</v>
      </c>
      <c r="F41" s="53" t="s">
        <v>133</v>
      </c>
      <c r="G41" s="53" t="s">
        <v>165</v>
      </c>
      <c r="H41" s="53" t="s">
        <v>166</v>
      </c>
      <c r="I41" s="53" t="s">
        <v>148</v>
      </c>
      <c r="J41" s="53" t="s">
        <v>523</v>
      </c>
      <c r="K41" s="53" t="s">
        <v>21</v>
      </c>
      <c r="L41" s="53" t="s">
        <v>310</v>
      </c>
      <c r="M41" s="55" t="s">
        <v>459</v>
      </c>
      <c r="N41" s="53" t="s">
        <v>3</v>
      </c>
      <c r="O41" s="53" t="s">
        <v>85</v>
      </c>
      <c r="P41" s="53" t="s">
        <v>251</v>
      </c>
      <c r="Q41" s="53" t="s">
        <v>208</v>
      </c>
      <c r="R41" s="53" t="s">
        <v>460</v>
      </c>
      <c r="S41" s="53" t="s">
        <v>1</v>
      </c>
      <c r="T41" s="53" t="s">
        <v>1</v>
      </c>
      <c r="U41" s="53" t="s">
        <v>241</v>
      </c>
      <c r="V41" s="53" t="s">
        <v>461</v>
      </c>
      <c r="W41" s="53" t="s">
        <v>462</v>
      </c>
      <c r="X41" s="53" t="s">
        <v>275</v>
      </c>
      <c r="Y41" s="53" t="s">
        <v>1</v>
      </c>
      <c r="Z41" s="53" t="s">
        <v>1</v>
      </c>
      <c r="AA41" s="53" t="s">
        <v>1</v>
      </c>
      <c r="AB41" s="53"/>
      <c r="AC41" s="53"/>
      <c r="AD41" s="53"/>
      <c r="AE41" s="53"/>
      <c r="AF41" s="53"/>
      <c r="AG41" s="53"/>
      <c r="AH41" s="53"/>
      <c r="AI41" s="53"/>
      <c r="AJ41" s="53"/>
      <c r="AK41" s="53"/>
    </row>
    <row r="42" spans="1:37" ht="57.6" customHeight="1" x14ac:dyDescent="0.3">
      <c r="A42" s="52" t="s">
        <v>0</v>
      </c>
      <c r="B42" s="52" t="s">
        <v>38</v>
      </c>
      <c r="C42" s="52" t="s">
        <v>307</v>
      </c>
      <c r="D42" s="53" t="s">
        <v>54</v>
      </c>
      <c r="E42" s="53" t="s">
        <v>126</v>
      </c>
      <c r="F42" s="53" t="s">
        <v>133</v>
      </c>
      <c r="G42" s="53" t="s">
        <v>165</v>
      </c>
      <c r="H42" s="53" t="s">
        <v>166</v>
      </c>
      <c r="I42" s="53" t="s">
        <v>148</v>
      </c>
      <c r="J42" s="53" t="s">
        <v>523</v>
      </c>
      <c r="K42" s="53" t="s">
        <v>22</v>
      </c>
      <c r="L42" s="53" t="s">
        <v>311</v>
      </c>
      <c r="M42" s="55" t="s">
        <v>255</v>
      </c>
      <c r="N42" s="53" t="s">
        <v>3</v>
      </c>
      <c r="O42" s="53" t="s">
        <v>85</v>
      </c>
      <c r="P42" s="53" t="s">
        <v>251</v>
      </c>
      <c r="Q42" s="53" t="s">
        <v>208</v>
      </c>
      <c r="R42" s="53" t="s">
        <v>463</v>
      </c>
      <c r="S42" s="53" t="s">
        <v>1</v>
      </c>
      <c r="T42" s="53" t="s">
        <v>1</v>
      </c>
      <c r="U42" s="53" t="s">
        <v>241</v>
      </c>
      <c r="V42" s="53" t="s">
        <v>364</v>
      </c>
      <c r="W42" s="53" t="s">
        <v>363</v>
      </c>
      <c r="X42" s="53" t="s">
        <v>275</v>
      </c>
      <c r="Y42" s="53" t="s">
        <v>1</v>
      </c>
      <c r="Z42" s="53" t="s">
        <v>1</v>
      </c>
      <c r="AA42" s="53" t="s">
        <v>1</v>
      </c>
      <c r="AB42" s="53"/>
      <c r="AC42" s="53"/>
      <c r="AD42" s="53"/>
      <c r="AE42" s="53"/>
      <c r="AF42" s="53"/>
      <c r="AG42" s="53"/>
      <c r="AH42" s="53"/>
      <c r="AI42" s="53"/>
      <c r="AJ42" s="53"/>
      <c r="AK42" s="53"/>
    </row>
    <row r="43" spans="1:37" ht="58.2" customHeight="1" x14ac:dyDescent="0.3">
      <c r="A43" s="52" t="s">
        <v>0</v>
      </c>
      <c r="B43" s="52" t="s">
        <v>38</v>
      </c>
      <c r="C43" s="52" t="s">
        <v>307</v>
      </c>
      <c r="D43" s="53" t="s">
        <v>54</v>
      </c>
      <c r="E43" s="53" t="s">
        <v>126</v>
      </c>
      <c r="F43" s="53" t="s">
        <v>133</v>
      </c>
      <c r="G43" s="53" t="s">
        <v>165</v>
      </c>
      <c r="H43" s="53" t="s">
        <v>166</v>
      </c>
      <c r="I43" s="53" t="s">
        <v>148</v>
      </c>
      <c r="J43" s="53" t="s">
        <v>523</v>
      </c>
      <c r="K43" s="53" t="s">
        <v>56</v>
      </c>
      <c r="L43" s="53" t="s">
        <v>312</v>
      </c>
      <c r="M43" s="55" t="s">
        <v>83</v>
      </c>
      <c r="N43" s="53" t="s">
        <v>3</v>
      </c>
      <c r="O43" s="53" t="s">
        <v>85</v>
      </c>
      <c r="P43" s="53" t="s">
        <v>251</v>
      </c>
      <c r="Q43" s="53" t="s">
        <v>208</v>
      </c>
      <c r="R43" s="53" t="s">
        <v>464</v>
      </c>
      <c r="S43" s="53" t="s">
        <v>1</v>
      </c>
      <c r="T43" s="53" t="s">
        <v>1</v>
      </c>
      <c r="U43" s="53" t="s">
        <v>241</v>
      </c>
      <c r="V43" s="53" t="s">
        <v>365</v>
      </c>
      <c r="W43" s="53" t="s">
        <v>462</v>
      </c>
      <c r="X43" s="53" t="s">
        <v>275</v>
      </c>
      <c r="Y43" s="53" t="s">
        <v>1</v>
      </c>
      <c r="Z43" s="53" t="s">
        <v>1</v>
      </c>
      <c r="AA43" s="53" t="s">
        <v>1</v>
      </c>
      <c r="AB43" s="53"/>
      <c r="AC43" s="53"/>
      <c r="AD43" s="53"/>
      <c r="AE43" s="53"/>
      <c r="AF43" s="53"/>
      <c r="AG43" s="53"/>
      <c r="AH43" s="53"/>
      <c r="AI43" s="53"/>
      <c r="AJ43" s="53"/>
      <c r="AK43" s="53"/>
    </row>
    <row r="44" spans="1:37" ht="133.19999999999999" customHeight="1" x14ac:dyDescent="0.3">
      <c r="A44" s="52" t="s">
        <v>0</v>
      </c>
      <c r="B44" s="52" t="s">
        <v>38</v>
      </c>
      <c r="C44" s="52" t="s">
        <v>307</v>
      </c>
      <c r="D44" s="53" t="s">
        <v>54</v>
      </c>
      <c r="E44" s="53" t="s">
        <v>126</v>
      </c>
      <c r="F44" s="53" t="s">
        <v>133</v>
      </c>
      <c r="G44" s="53" t="s">
        <v>209</v>
      </c>
      <c r="H44" s="53" t="s">
        <v>210</v>
      </c>
      <c r="I44" s="53" t="s">
        <v>187</v>
      </c>
      <c r="J44" s="53" t="s">
        <v>131</v>
      </c>
      <c r="K44" s="53" t="s">
        <v>52</v>
      </c>
      <c r="L44" s="53" t="s">
        <v>313</v>
      </c>
      <c r="M44" s="53" t="s">
        <v>211</v>
      </c>
      <c r="N44" s="53" t="s">
        <v>3</v>
      </c>
      <c r="O44" s="53" t="s">
        <v>4</v>
      </c>
      <c r="P44" s="53" t="s">
        <v>251</v>
      </c>
      <c r="Q44" s="53" t="s">
        <v>90</v>
      </c>
      <c r="R44" s="53" t="s">
        <v>465</v>
      </c>
      <c r="S44" s="53" t="s">
        <v>1</v>
      </c>
      <c r="T44" s="53" t="s">
        <v>543</v>
      </c>
      <c r="U44" s="53" t="s">
        <v>241</v>
      </c>
      <c r="V44" s="53" t="s">
        <v>366</v>
      </c>
      <c r="W44" s="53" t="s">
        <v>466</v>
      </c>
      <c r="X44" s="53" t="s">
        <v>275</v>
      </c>
      <c r="Y44" s="53" t="s">
        <v>1</v>
      </c>
      <c r="Z44" s="53" t="s">
        <v>1</v>
      </c>
      <c r="AA44" s="53" t="s">
        <v>1</v>
      </c>
      <c r="AB44" s="53"/>
      <c r="AC44" s="53"/>
      <c r="AD44" s="53"/>
      <c r="AE44" s="53"/>
      <c r="AF44" s="53"/>
      <c r="AG44" s="53"/>
      <c r="AH44" s="53"/>
      <c r="AI44" s="53"/>
      <c r="AJ44" s="53"/>
      <c r="AK44" s="53"/>
    </row>
    <row r="45" spans="1:37" ht="133.19999999999999" customHeight="1" x14ac:dyDescent="0.3">
      <c r="A45" s="52" t="s">
        <v>0</v>
      </c>
      <c r="B45" s="52" t="s">
        <v>38</v>
      </c>
      <c r="C45" s="52" t="s">
        <v>307</v>
      </c>
      <c r="D45" s="53" t="s">
        <v>54</v>
      </c>
      <c r="E45" s="53" t="s">
        <v>126</v>
      </c>
      <c r="F45" s="53" t="s">
        <v>133</v>
      </c>
      <c r="G45" s="53" t="s">
        <v>212</v>
      </c>
      <c r="H45" s="53" t="s">
        <v>213</v>
      </c>
      <c r="I45" s="53" t="s">
        <v>187</v>
      </c>
      <c r="J45" s="53" t="s">
        <v>131</v>
      </c>
      <c r="K45" s="53" t="s">
        <v>52</v>
      </c>
      <c r="L45" s="53" t="s">
        <v>314</v>
      </c>
      <c r="M45" s="53" t="s">
        <v>103</v>
      </c>
      <c r="N45" s="53" t="s">
        <v>3</v>
      </c>
      <c r="O45" s="53" t="s">
        <v>4</v>
      </c>
      <c r="P45" s="53" t="s">
        <v>251</v>
      </c>
      <c r="Q45" s="53" t="s">
        <v>208</v>
      </c>
      <c r="R45" s="60" t="s">
        <v>274</v>
      </c>
      <c r="S45" s="53" t="s">
        <v>1</v>
      </c>
      <c r="T45" s="53" t="s">
        <v>544</v>
      </c>
      <c r="U45" s="53" t="s">
        <v>241</v>
      </c>
      <c r="V45" s="53" t="s">
        <v>367</v>
      </c>
      <c r="W45" s="53" t="s">
        <v>363</v>
      </c>
      <c r="X45" s="53" t="s">
        <v>275</v>
      </c>
      <c r="Y45" s="53" t="s">
        <v>1</v>
      </c>
      <c r="Z45" s="53" t="s">
        <v>1</v>
      </c>
      <c r="AA45" s="53" t="s">
        <v>1</v>
      </c>
      <c r="AB45" s="53"/>
      <c r="AC45" s="53"/>
      <c r="AD45" s="53"/>
      <c r="AE45" s="53"/>
      <c r="AF45" s="53"/>
      <c r="AG45" s="53"/>
      <c r="AH45" s="53"/>
      <c r="AI45" s="53"/>
      <c r="AJ45" s="53"/>
      <c r="AK45" s="53"/>
    </row>
    <row r="46" spans="1:37" ht="133.19999999999999" customHeight="1" x14ac:dyDescent="0.3">
      <c r="A46" s="52" t="s">
        <v>0</v>
      </c>
      <c r="B46" s="52" t="s">
        <v>38</v>
      </c>
      <c r="C46" s="52" t="s">
        <v>307</v>
      </c>
      <c r="D46" s="53" t="s">
        <v>54</v>
      </c>
      <c r="E46" s="53" t="s">
        <v>126</v>
      </c>
      <c r="F46" s="53" t="s">
        <v>133</v>
      </c>
      <c r="G46" s="53" t="s">
        <v>168</v>
      </c>
      <c r="H46" s="53" t="s">
        <v>154</v>
      </c>
      <c r="I46" s="53" t="s">
        <v>148</v>
      </c>
      <c r="J46" s="53" t="s">
        <v>523</v>
      </c>
      <c r="K46" s="53" t="s">
        <v>52</v>
      </c>
      <c r="L46" s="53" t="s">
        <v>314</v>
      </c>
      <c r="M46" s="53" t="s">
        <v>103</v>
      </c>
      <c r="N46" s="53" t="s">
        <v>3</v>
      </c>
      <c r="O46" s="53" t="s">
        <v>4</v>
      </c>
      <c r="P46" s="53" t="s">
        <v>251</v>
      </c>
      <c r="Q46" s="53" t="s">
        <v>208</v>
      </c>
      <c r="R46" s="60" t="s">
        <v>274</v>
      </c>
      <c r="S46" s="53" t="s">
        <v>1</v>
      </c>
      <c r="T46" s="53" t="s">
        <v>1</v>
      </c>
      <c r="U46" s="53" t="s">
        <v>241</v>
      </c>
      <c r="V46" s="53" t="s">
        <v>367</v>
      </c>
      <c r="W46" s="53" t="s">
        <v>363</v>
      </c>
      <c r="X46" s="53" t="s">
        <v>275</v>
      </c>
      <c r="Y46" s="53" t="s">
        <v>1</v>
      </c>
      <c r="Z46" s="53" t="s">
        <v>1</v>
      </c>
      <c r="AA46" s="53" t="s">
        <v>1</v>
      </c>
      <c r="AB46" s="53"/>
      <c r="AC46" s="53"/>
      <c r="AD46" s="53"/>
      <c r="AE46" s="53"/>
      <c r="AF46" s="53"/>
      <c r="AG46" s="53"/>
      <c r="AH46" s="53"/>
      <c r="AI46" s="53"/>
      <c r="AJ46" s="53"/>
      <c r="AK46" s="53"/>
    </row>
    <row r="47" spans="1:37" ht="133.19999999999999" customHeight="1" x14ac:dyDescent="0.3">
      <c r="A47" s="52" t="s">
        <v>0</v>
      </c>
      <c r="B47" s="52" t="s">
        <v>23</v>
      </c>
      <c r="C47" s="52" t="s">
        <v>307</v>
      </c>
      <c r="D47" s="53" t="s">
        <v>24</v>
      </c>
      <c r="E47" s="53" t="s">
        <v>126</v>
      </c>
      <c r="F47" s="53" t="s">
        <v>133</v>
      </c>
      <c r="G47" s="53" t="s">
        <v>165</v>
      </c>
      <c r="H47" s="53" t="s">
        <v>166</v>
      </c>
      <c r="I47" s="53" t="s">
        <v>148</v>
      </c>
      <c r="J47" s="53" t="s">
        <v>523</v>
      </c>
      <c r="K47" s="53" t="s">
        <v>25</v>
      </c>
      <c r="L47" s="53" t="s">
        <v>315</v>
      </c>
      <c r="M47" s="55" t="s">
        <v>467</v>
      </c>
      <c r="N47" s="53" t="s">
        <v>26</v>
      </c>
      <c r="O47" s="53" t="s">
        <v>27</v>
      </c>
      <c r="P47" s="53" t="s">
        <v>251</v>
      </c>
      <c r="Q47" s="54" t="s">
        <v>90</v>
      </c>
      <c r="R47" s="53" t="s">
        <v>468</v>
      </c>
      <c r="S47" s="53" t="s">
        <v>378</v>
      </c>
      <c r="T47" s="53" t="s">
        <v>378</v>
      </c>
      <c r="U47" s="53" t="s">
        <v>378</v>
      </c>
      <c r="V47" s="53" t="s">
        <v>378</v>
      </c>
      <c r="W47" s="53" t="s">
        <v>378</v>
      </c>
      <c r="X47" s="54" t="s">
        <v>275</v>
      </c>
      <c r="Y47" s="53" t="s">
        <v>378</v>
      </c>
      <c r="Z47" s="53" t="s">
        <v>378</v>
      </c>
      <c r="AA47" s="53" t="s">
        <v>378</v>
      </c>
      <c r="AB47" s="53"/>
      <c r="AC47" s="53"/>
      <c r="AD47" s="53"/>
      <c r="AE47" s="53"/>
      <c r="AF47" s="53"/>
      <c r="AG47" s="53"/>
      <c r="AH47" s="53"/>
      <c r="AI47" s="53"/>
      <c r="AJ47" s="53"/>
      <c r="AK47" s="53"/>
    </row>
    <row r="48" spans="1:37" ht="76.2" customHeight="1" x14ac:dyDescent="0.3">
      <c r="A48" s="52" t="s">
        <v>0</v>
      </c>
      <c r="B48" s="52" t="s">
        <v>23</v>
      </c>
      <c r="C48" s="52" t="s">
        <v>307</v>
      </c>
      <c r="D48" s="53" t="s">
        <v>24</v>
      </c>
      <c r="E48" s="53" t="s">
        <v>126</v>
      </c>
      <c r="F48" s="53" t="s">
        <v>133</v>
      </c>
      <c r="G48" s="53" t="s">
        <v>165</v>
      </c>
      <c r="H48" s="53" t="s">
        <v>166</v>
      </c>
      <c r="I48" s="53" t="s">
        <v>148</v>
      </c>
      <c r="J48" s="53" t="s">
        <v>523</v>
      </c>
      <c r="K48" s="53" t="s">
        <v>214</v>
      </c>
      <c r="L48" s="53" t="s">
        <v>316</v>
      </c>
      <c r="M48" s="55" t="s">
        <v>469</v>
      </c>
      <c r="N48" s="53" t="s">
        <v>26</v>
      </c>
      <c r="O48" s="53" t="s">
        <v>27</v>
      </c>
      <c r="P48" s="53" t="s">
        <v>251</v>
      </c>
      <c r="Q48" s="53" t="s">
        <v>90</v>
      </c>
      <c r="R48" s="53" t="s">
        <v>470</v>
      </c>
      <c r="S48" s="53" t="s">
        <v>1</v>
      </c>
      <c r="T48" s="54" t="s">
        <v>1</v>
      </c>
      <c r="U48" s="53" t="s">
        <v>241</v>
      </c>
      <c r="V48" s="53" t="s">
        <v>368</v>
      </c>
      <c r="W48" s="53" t="s">
        <v>462</v>
      </c>
      <c r="X48" s="53" t="s">
        <v>275</v>
      </c>
      <c r="Y48" s="53" t="s">
        <v>1</v>
      </c>
      <c r="Z48" s="53" t="s">
        <v>1</v>
      </c>
      <c r="AA48" s="53" t="s">
        <v>1</v>
      </c>
      <c r="AB48" s="53"/>
      <c r="AC48" s="53"/>
      <c r="AD48" s="53"/>
      <c r="AE48" s="53"/>
      <c r="AF48" s="53"/>
      <c r="AG48" s="53"/>
      <c r="AH48" s="53"/>
      <c r="AI48" s="53"/>
      <c r="AJ48" s="53"/>
      <c r="AK48" s="53"/>
    </row>
    <row r="49" spans="1:37" ht="133.19999999999999" customHeight="1" x14ac:dyDescent="0.3">
      <c r="A49" s="52" t="s">
        <v>0</v>
      </c>
      <c r="B49" s="52" t="s">
        <v>23</v>
      </c>
      <c r="C49" s="52" t="s">
        <v>307</v>
      </c>
      <c r="D49" s="53" t="s">
        <v>24</v>
      </c>
      <c r="E49" s="53" t="s">
        <v>126</v>
      </c>
      <c r="F49" s="53" t="s">
        <v>133</v>
      </c>
      <c r="G49" s="53" t="s">
        <v>165</v>
      </c>
      <c r="H49" s="53" t="s">
        <v>166</v>
      </c>
      <c r="I49" s="53" t="s">
        <v>148</v>
      </c>
      <c r="J49" s="53" t="s">
        <v>523</v>
      </c>
      <c r="K49" s="53" t="s">
        <v>25</v>
      </c>
      <c r="L49" s="53" t="s">
        <v>317</v>
      </c>
      <c r="M49" s="55" t="s">
        <v>510</v>
      </c>
      <c r="N49" s="53" t="s">
        <v>26</v>
      </c>
      <c r="O49" s="53" t="s">
        <v>27</v>
      </c>
      <c r="P49" s="53" t="s">
        <v>251</v>
      </c>
      <c r="Q49" s="53" t="s">
        <v>208</v>
      </c>
      <c r="R49" s="53" t="s">
        <v>471</v>
      </c>
      <c r="S49" s="53" t="s">
        <v>1</v>
      </c>
      <c r="T49" s="54" t="s">
        <v>1</v>
      </c>
      <c r="U49" s="53" t="s">
        <v>241</v>
      </c>
      <c r="V49" s="53" t="s">
        <v>368</v>
      </c>
      <c r="W49" s="53" t="s">
        <v>462</v>
      </c>
      <c r="X49" s="53" t="s">
        <v>275</v>
      </c>
      <c r="Y49" s="53" t="s">
        <v>1</v>
      </c>
      <c r="Z49" s="53" t="s">
        <v>1</v>
      </c>
      <c r="AA49" s="53" t="s">
        <v>1</v>
      </c>
      <c r="AB49" s="53"/>
      <c r="AC49" s="53"/>
      <c r="AD49" s="53"/>
      <c r="AE49" s="53"/>
      <c r="AF49" s="53"/>
      <c r="AG49" s="53"/>
      <c r="AH49" s="53"/>
      <c r="AI49" s="53"/>
      <c r="AJ49" s="53"/>
      <c r="AK49" s="53"/>
    </row>
    <row r="50" spans="1:37" ht="133.19999999999999" customHeight="1" x14ac:dyDescent="0.3">
      <c r="A50" s="52" t="s">
        <v>0</v>
      </c>
      <c r="B50" s="52" t="s">
        <v>38</v>
      </c>
      <c r="C50" s="52" t="s">
        <v>318</v>
      </c>
      <c r="D50" s="53" t="s">
        <v>57</v>
      </c>
      <c r="E50" s="53" t="s">
        <v>126</v>
      </c>
      <c r="F50" s="54" t="s">
        <v>153</v>
      </c>
      <c r="G50" s="53" t="s">
        <v>165</v>
      </c>
      <c r="H50" s="53" t="s">
        <v>154</v>
      </c>
      <c r="I50" s="53" t="s">
        <v>148</v>
      </c>
      <c r="J50" s="53" t="s">
        <v>529</v>
      </c>
      <c r="K50" s="53" t="s">
        <v>34</v>
      </c>
      <c r="L50" s="53" t="s">
        <v>319</v>
      </c>
      <c r="M50" s="53" t="s">
        <v>256</v>
      </c>
      <c r="N50" s="53" t="s">
        <v>43</v>
      </c>
      <c r="O50" s="53" t="s">
        <v>4</v>
      </c>
      <c r="P50" s="53" t="s">
        <v>251</v>
      </c>
      <c r="Q50" s="53" t="s">
        <v>91</v>
      </c>
      <c r="R50" s="53" t="s">
        <v>472</v>
      </c>
      <c r="S50" s="53" t="s">
        <v>1</v>
      </c>
      <c r="T50" s="54" t="s">
        <v>1</v>
      </c>
      <c r="U50" s="54" t="s">
        <v>241</v>
      </c>
      <c r="V50" s="53" t="s">
        <v>473</v>
      </c>
      <c r="W50" s="53" t="s">
        <v>462</v>
      </c>
      <c r="X50" s="53" t="s">
        <v>275</v>
      </c>
      <c r="Y50" s="53" t="s">
        <v>1</v>
      </c>
      <c r="Z50" s="53" t="s">
        <v>1</v>
      </c>
      <c r="AA50" s="53" t="s">
        <v>1</v>
      </c>
      <c r="AB50" s="53"/>
      <c r="AC50" s="53"/>
      <c r="AD50" s="53"/>
      <c r="AE50" s="53"/>
      <c r="AF50" s="53"/>
      <c r="AG50" s="53"/>
      <c r="AH50" s="53"/>
      <c r="AI50" s="53"/>
      <c r="AJ50" s="53"/>
      <c r="AK50" s="53"/>
    </row>
    <row r="51" spans="1:37" ht="133.19999999999999" customHeight="1" x14ac:dyDescent="0.3">
      <c r="A51" s="52" t="s">
        <v>0</v>
      </c>
      <c r="B51" s="52" t="s">
        <v>38</v>
      </c>
      <c r="C51" s="52" t="s">
        <v>318</v>
      </c>
      <c r="D51" s="53" t="s">
        <v>57</v>
      </c>
      <c r="E51" s="53" t="s">
        <v>126</v>
      </c>
      <c r="F51" s="53" t="s">
        <v>133</v>
      </c>
      <c r="G51" s="53" t="s">
        <v>165</v>
      </c>
      <c r="H51" s="53" t="s">
        <v>166</v>
      </c>
      <c r="I51" s="53" t="s">
        <v>148</v>
      </c>
      <c r="J51" s="53" t="s">
        <v>529</v>
      </c>
      <c r="K51" s="53" t="s">
        <v>58</v>
      </c>
      <c r="L51" s="53" t="s">
        <v>320</v>
      </c>
      <c r="M51" s="53" t="s">
        <v>84</v>
      </c>
      <c r="N51" s="53" t="s">
        <v>3</v>
      </c>
      <c r="O51" s="53" t="s">
        <v>4</v>
      </c>
      <c r="P51" s="53" t="s">
        <v>251</v>
      </c>
      <c r="Q51" s="53" t="s">
        <v>208</v>
      </c>
      <c r="R51" s="53" t="s">
        <v>474</v>
      </c>
      <c r="S51" s="53" t="s">
        <v>1</v>
      </c>
      <c r="T51" s="54" t="s">
        <v>1</v>
      </c>
      <c r="U51" s="54" t="s">
        <v>241</v>
      </c>
      <c r="V51" s="53" t="s">
        <v>369</v>
      </c>
      <c r="W51" s="53" t="s">
        <v>245</v>
      </c>
      <c r="X51" s="53" t="s">
        <v>275</v>
      </c>
      <c r="Y51" s="53" t="s">
        <v>1</v>
      </c>
      <c r="Z51" s="53" t="s">
        <v>1</v>
      </c>
      <c r="AA51" s="53" t="s">
        <v>1</v>
      </c>
      <c r="AB51" s="53"/>
      <c r="AC51" s="53"/>
      <c r="AD51" s="53"/>
      <c r="AE51" s="53"/>
      <c r="AF51" s="53"/>
      <c r="AG51" s="53"/>
      <c r="AH51" s="53"/>
      <c r="AI51" s="53"/>
      <c r="AJ51" s="53"/>
      <c r="AK51" s="53"/>
    </row>
    <row r="52" spans="1:37" ht="133.19999999999999" customHeight="1" x14ac:dyDescent="0.3">
      <c r="A52" s="52" t="s">
        <v>0</v>
      </c>
      <c r="B52" s="52" t="s">
        <v>38</v>
      </c>
      <c r="C52" s="52" t="s">
        <v>318</v>
      </c>
      <c r="D52" s="53" t="s">
        <v>57</v>
      </c>
      <c r="E52" s="53" t="s">
        <v>126</v>
      </c>
      <c r="F52" s="53" t="s">
        <v>133</v>
      </c>
      <c r="G52" s="53" t="s">
        <v>165</v>
      </c>
      <c r="H52" s="53" t="s">
        <v>166</v>
      </c>
      <c r="I52" s="53" t="s">
        <v>148</v>
      </c>
      <c r="J52" s="53" t="s">
        <v>529</v>
      </c>
      <c r="K52" s="53" t="s">
        <v>59</v>
      </c>
      <c r="L52" s="53" t="s">
        <v>321</v>
      </c>
      <c r="M52" s="53" t="s">
        <v>475</v>
      </c>
      <c r="N52" s="53" t="s">
        <v>3</v>
      </c>
      <c r="O52" s="53" t="s">
        <v>85</v>
      </c>
      <c r="P52" s="53" t="s">
        <v>251</v>
      </c>
      <c r="Q52" s="53" t="s">
        <v>95</v>
      </c>
      <c r="R52" s="53" t="s">
        <v>370</v>
      </c>
      <c r="S52" s="53" t="s">
        <v>1</v>
      </c>
      <c r="T52" s="54" t="s">
        <v>1</v>
      </c>
      <c r="U52" s="54" t="s">
        <v>241</v>
      </c>
      <c r="V52" s="58" t="s">
        <v>371</v>
      </c>
      <c r="W52" s="53" t="s">
        <v>245</v>
      </c>
      <c r="X52" s="53" t="s">
        <v>275</v>
      </c>
      <c r="Y52" s="53" t="s">
        <v>1</v>
      </c>
      <c r="Z52" s="53" t="s">
        <v>1</v>
      </c>
      <c r="AA52" s="53" t="s">
        <v>1</v>
      </c>
      <c r="AB52" s="53"/>
      <c r="AC52" s="53"/>
      <c r="AD52" s="53"/>
      <c r="AE52" s="53"/>
      <c r="AF52" s="53"/>
      <c r="AG52" s="53"/>
      <c r="AH52" s="53"/>
      <c r="AI52" s="53"/>
      <c r="AJ52" s="53"/>
      <c r="AK52" s="53"/>
    </row>
    <row r="53" spans="1:37" ht="107.4" customHeight="1" x14ac:dyDescent="0.3">
      <c r="A53" s="52" t="s">
        <v>0</v>
      </c>
      <c r="B53" s="52" t="s">
        <v>38</v>
      </c>
      <c r="C53" s="52" t="s">
        <v>318</v>
      </c>
      <c r="D53" s="53" t="s">
        <v>57</v>
      </c>
      <c r="E53" s="53" t="s">
        <v>126</v>
      </c>
      <c r="F53" s="53" t="s">
        <v>133</v>
      </c>
      <c r="G53" s="53" t="s">
        <v>165</v>
      </c>
      <c r="H53" s="53" t="s">
        <v>166</v>
      </c>
      <c r="I53" s="53" t="s">
        <v>148</v>
      </c>
      <c r="J53" s="53" t="s">
        <v>530</v>
      </c>
      <c r="K53" s="53" t="s">
        <v>28</v>
      </c>
      <c r="L53" s="53" t="s">
        <v>322</v>
      </c>
      <c r="M53" s="53" t="s">
        <v>215</v>
      </c>
      <c r="N53" s="53" t="s">
        <v>3</v>
      </c>
      <c r="O53" s="53" t="s">
        <v>85</v>
      </c>
      <c r="P53" s="53" t="s">
        <v>251</v>
      </c>
      <c r="Q53" s="53" t="s">
        <v>208</v>
      </c>
      <c r="R53" s="69" t="s">
        <v>553</v>
      </c>
      <c r="S53" s="53" t="s">
        <v>1</v>
      </c>
      <c r="T53" s="54" t="s">
        <v>1</v>
      </c>
      <c r="U53" s="54" t="s">
        <v>241</v>
      </c>
      <c r="V53" s="53" t="s">
        <v>372</v>
      </c>
      <c r="W53" s="53" t="s">
        <v>363</v>
      </c>
      <c r="X53" s="53" t="s">
        <v>1</v>
      </c>
      <c r="Y53" s="69" t="s">
        <v>554</v>
      </c>
      <c r="Z53" s="69" t="s">
        <v>555</v>
      </c>
      <c r="AA53" s="70" t="s">
        <v>549</v>
      </c>
      <c r="AB53" s="53"/>
      <c r="AC53" s="53"/>
      <c r="AD53" s="53"/>
      <c r="AE53" s="53"/>
      <c r="AF53" s="53"/>
      <c r="AG53" s="53"/>
      <c r="AH53" s="53"/>
      <c r="AI53" s="53"/>
      <c r="AJ53" s="53"/>
      <c r="AK53" s="53"/>
    </row>
    <row r="54" spans="1:37" ht="133.19999999999999" customHeight="1" x14ac:dyDescent="0.3">
      <c r="A54" s="52" t="s">
        <v>0</v>
      </c>
      <c r="B54" s="52" t="s">
        <v>38</v>
      </c>
      <c r="C54" s="52" t="s">
        <v>318</v>
      </c>
      <c r="D54" s="53" t="s">
        <v>57</v>
      </c>
      <c r="E54" s="53" t="s">
        <v>126</v>
      </c>
      <c r="F54" s="53" t="s">
        <v>133</v>
      </c>
      <c r="G54" s="53" t="s">
        <v>165</v>
      </c>
      <c r="H54" s="53" t="s">
        <v>166</v>
      </c>
      <c r="I54" s="53" t="s">
        <v>148</v>
      </c>
      <c r="J54" s="53" t="s">
        <v>531</v>
      </c>
      <c r="K54" s="53" t="s">
        <v>35</v>
      </c>
      <c r="L54" s="53" t="s">
        <v>323</v>
      </c>
      <c r="M54" s="53" t="s">
        <v>60</v>
      </c>
      <c r="N54" s="53" t="s">
        <v>3</v>
      </c>
      <c r="O54" s="53" t="s">
        <v>4</v>
      </c>
      <c r="P54" s="53" t="s">
        <v>251</v>
      </c>
      <c r="Q54" s="53" t="s">
        <v>90</v>
      </c>
      <c r="R54" s="67" t="s">
        <v>532</v>
      </c>
      <c r="S54" s="53" t="s">
        <v>1</v>
      </c>
      <c r="T54" s="54" t="s">
        <v>1</v>
      </c>
      <c r="U54" s="54" t="s">
        <v>241</v>
      </c>
      <c r="V54" s="53" t="s">
        <v>373</v>
      </c>
      <c r="W54" s="53" t="s">
        <v>533</v>
      </c>
      <c r="X54" s="53" t="s">
        <v>275</v>
      </c>
      <c r="Y54" s="53" t="s">
        <v>1</v>
      </c>
      <c r="Z54" s="53" t="s">
        <v>1</v>
      </c>
      <c r="AA54" s="53" t="s">
        <v>1</v>
      </c>
      <c r="AB54" s="53"/>
      <c r="AC54" s="53"/>
      <c r="AD54" s="53"/>
      <c r="AE54" s="53"/>
      <c r="AF54" s="53"/>
      <c r="AG54" s="53"/>
      <c r="AH54" s="53"/>
      <c r="AI54" s="53"/>
      <c r="AJ54" s="53"/>
      <c r="AK54" s="53"/>
    </row>
    <row r="55" spans="1:37" ht="51" customHeight="1" x14ac:dyDescent="0.3">
      <c r="A55" s="52" t="s">
        <v>0</v>
      </c>
      <c r="B55" s="52" t="s">
        <v>38</v>
      </c>
      <c r="C55" s="52" t="s">
        <v>324</v>
      </c>
      <c r="D55" s="53" t="s">
        <v>61</v>
      </c>
      <c r="E55" s="53" t="s">
        <v>126</v>
      </c>
      <c r="F55" s="53" t="s">
        <v>257</v>
      </c>
      <c r="G55" s="53" t="s">
        <v>258</v>
      </c>
      <c r="H55" s="53" t="s">
        <v>259</v>
      </c>
      <c r="I55" s="54" t="s">
        <v>148</v>
      </c>
      <c r="J55" s="53" t="s">
        <v>531</v>
      </c>
      <c r="K55" s="53" t="s">
        <v>62</v>
      </c>
      <c r="L55" s="53" t="s">
        <v>325</v>
      </c>
      <c r="M55" s="53" t="s">
        <v>63</v>
      </c>
      <c r="N55" s="53" t="s">
        <v>3</v>
      </c>
      <c r="O55" s="53" t="s">
        <v>4</v>
      </c>
      <c r="P55" s="53" t="s">
        <v>251</v>
      </c>
      <c r="Q55" s="53" t="s">
        <v>90</v>
      </c>
      <c r="R55" s="53" t="s">
        <v>534</v>
      </c>
      <c r="S55" s="53" t="s">
        <v>476</v>
      </c>
      <c r="T55" s="54" t="s">
        <v>1</v>
      </c>
      <c r="U55" s="54" t="s">
        <v>1</v>
      </c>
      <c r="V55" s="53" t="s">
        <v>374</v>
      </c>
      <c r="W55" s="53" t="s">
        <v>244</v>
      </c>
      <c r="X55" s="53" t="s">
        <v>275</v>
      </c>
      <c r="Y55" s="53" t="s">
        <v>1</v>
      </c>
      <c r="Z55" s="53" t="s">
        <v>1</v>
      </c>
      <c r="AA55" s="53" t="s">
        <v>1</v>
      </c>
      <c r="AB55" s="53"/>
      <c r="AC55" s="53"/>
      <c r="AD55" s="53"/>
      <c r="AE55" s="53"/>
      <c r="AF55" s="53"/>
      <c r="AG55" s="53"/>
      <c r="AH55" s="53"/>
      <c r="AI55" s="53"/>
      <c r="AJ55" s="53"/>
      <c r="AK55" s="53"/>
    </row>
    <row r="56" spans="1:37" ht="66" customHeight="1" x14ac:dyDescent="0.3">
      <c r="A56" s="52" t="s">
        <v>0</v>
      </c>
      <c r="B56" s="52" t="s">
        <v>38</v>
      </c>
      <c r="C56" s="52" t="s">
        <v>324</v>
      </c>
      <c r="D56" s="53" t="s">
        <v>61</v>
      </c>
      <c r="E56" s="53" t="s">
        <v>126</v>
      </c>
      <c r="F56" s="53" t="s">
        <v>133</v>
      </c>
      <c r="G56" s="53" t="s">
        <v>165</v>
      </c>
      <c r="H56" s="53" t="s">
        <v>166</v>
      </c>
      <c r="I56" s="53" t="s">
        <v>148</v>
      </c>
      <c r="J56" s="53" t="s">
        <v>529</v>
      </c>
      <c r="K56" s="53" t="s">
        <v>86</v>
      </c>
      <c r="L56" s="53" t="s">
        <v>326</v>
      </c>
      <c r="M56" s="53" t="s">
        <v>87</v>
      </c>
      <c r="N56" s="53" t="s">
        <v>3</v>
      </c>
      <c r="O56" s="53" t="s">
        <v>4</v>
      </c>
      <c r="P56" s="53" t="s">
        <v>251</v>
      </c>
      <c r="Q56" s="53" t="s">
        <v>90</v>
      </c>
      <c r="R56" s="53" t="s">
        <v>477</v>
      </c>
      <c r="S56" s="53" t="s">
        <v>476</v>
      </c>
      <c r="T56" s="54" t="s">
        <v>1</v>
      </c>
      <c r="U56" s="53" t="s">
        <v>241</v>
      </c>
      <c r="V56" s="53" t="s">
        <v>375</v>
      </c>
      <c r="W56" s="53" t="s">
        <v>244</v>
      </c>
      <c r="X56" s="53" t="s">
        <v>275</v>
      </c>
      <c r="Y56" s="53" t="s">
        <v>1</v>
      </c>
      <c r="Z56" s="53" t="s">
        <v>1</v>
      </c>
      <c r="AA56" s="53" t="s">
        <v>1</v>
      </c>
      <c r="AB56" s="53"/>
      <c r="AC56" s="53"/>
      <c r="AD56" s="53"/>
      <c r="AE56" s="53"/>
      <c r="AF56" s="53"/>
      <c r="AG56" s="53"/>
      <c r="AH56" s="53"/>
      <c r="AI56" s="53"/>
      <c r="AJ56" s="53"/>
      <c r="AK56" s="53"/>
    </row>
    <row r="57" spans="1:37" ht="67.2" customHeight="1" x14ac:dyDescent="0.3">
      <c r="A57" s="52" t="s">
        <v>0</v>
      </c>
      <c r="B57" s="52" t="s">
        <v>38</v>
      </c>
      <c r="C57" s="52" t="s">
        <v>324</v>
      </c>
      <c r="D57" s="53" t="s">
        <v>61</v>
      </c>
      <c r="E57" s="53" t="s">
        <v>126</v>
      </c>
      <c r="F57" s="53" t="s">
        <v>133</v>
      </c>
      <c r="G57" s="53" t="s">
        <v>165</v>
      </c>
      <c r="H57" s="53" t="s">
        <v>166</v>
      </c>
      <c r="I57" s="53" t="s">
        <v>148</v>
      </c>
      <c r="J57" s="53" t="s">
        <v>529</v>
      </c>
      <c r="K57" s="53" t="s">
        <v>260</v>
      </c>
      <c r="L57" s="53" t="s">
        <v>327</v>
      </c>
      <c r="M57" s="53" t="s">
        <v>29</v>
      </c>
      <c r="N57" s="53" t="s">
        <v>3</v>
      </c>
      <c r="O57" s="53" t="s">
        <v>85</v>
      </c>
      <c r="P57" s="53" t="s">
        <v>251</v>
      </c>
      <c r="Q57" s="53" t="s">
        <v>90</v>
      </c>
      <c r="R57" s="53" t="s">
        <v>478</v>
      </c>
      <c r="S57" s="53" t="s">
        <v>1</v>
      </c>
      <c r="T57" s="54" t="s">
        <v>1</v>
      </c>
      <c r="U57" s="53" t="s">
        <v>241</v>
      </c>
      <c r="V57" s="53" t="s">
        <v>376</v>
      </c>
      <c r="W57" s="53" t="s">
        <v>479</v>
      </c>
      <c r="X57" s="53" t="s">
        <v>275</v>
      </c>
      <c r="Y57" s="53" t="s">
        <v>1</v>
      </c>
      <c r="Z57" s="53" t="s">
        <v>1</v>
      </c>
      <c r="AA57" s="53" t="s">
        <v>1</v>
      </c>
      <c r="AB57" s="53"/>
      <c r="AC57" s="53"/>
      <c r="AD57" s="53"/>
      <c r="AE57" s="53"/>
      <c r="AF57" s="53"/>
      <c r="AG57" s="53"/>
      <c r="AH57" s="53"/>
      <c r="AI57" s="53"/>
      <c r="AJ57" s="53"/>
      <c r="AK57" s="53"/>
    </row>
    <row r="58" spans="1:37" ht="133.19999999999999" customHeight="1" x14ac:dyDescent="0.3">
      <c r="A58" s="52" t="s">
        <v>0</v>
      </c>
      <c r="B58" s="52" t="s">
        <v>38</v>
      </c>
      <c r="C58" s="52" t="s">
        <v>324</v>
      </c>
      <c r="D58" s="53" t="s">
        <v>61</v>
      </c>
      <c r="E58" s="53" t="s">
        <v>126</v>
      </c>
      <c r="F58" s="53" t="s">
        <v>133</v>
      </c>
      <c r="G58" s="53" t="s">
        <v>165</v>
      </c>
      <c r="H58" s="53" t="s">
        <v>166</v>
      </c>
      <c r="I58" s="53" t="s">
        <v>148</v>
      </c>
      <c r="J58" s="53" t="s">
        <v>529</v>
      </c>
      <c r="K58" s="53" t="s">
        <v>30</v>
      </c>
      <c r="L58" s="53" t="s">
        <v>328</v>
      </c>
      <c r="M58" s="53" t="s">
        <v>64</v>
      </c>
      <c r="N58" s="53" t="s">
        <v>3</v>
      </c>
      <c r="O58" s="53" t="s">
        <v>85</v>
      </c>
      <c r="P58" s="53" t="s">
        <v>251</v>
      </c>
      <c r="Q58" s="53" t="s">
        <v>208</v>
      </c>
      <c r="R58" s="53" t="s">
        <v>480</v>
      </c>
      <c r="S58" s="53" t="s">
        <v>480</v>
      </c>
      <c r="T58" s="53" t="s">
        <v>480</v>
      </c>
      <c r="U58" s="53" t="s">
        <v>480</v>
      </c>
      <c r="V58" s="53" t="s">
        <v>480</v>
      </c>
      <c r="W58" s="53" t="s">
        <v>480</v>
      </c>
      <c r="X58" s="53" t="s">
        <v>1</v>
      </c>
      <c r="Y58" s="53" t="s">
        <v>480</v>
      </c>
      <c r="Z58" s="53" t="s">
        <v>480</v>
      </c>
      <c r="AA58" s="53" t="s">
        <v>480</v>
      </c>
      <c r="AB58" s="53"/>
      <c r="AC58" s="53"/>
      <c r="AD58" s="53"/>
      <c r="AE58" s="53"/>
      <c r="AF58" s="53"/>
      <c r="AG58" s="53"/>
      <c r="AH58" s="53"/>
      <c r="AI58" s="53"/>
      <c r="AJ58" s="53"/>
      <c r="AK58" s="53"/>
    </row>
    <row r="59" spans="1:37" ht="133.19999999999999" customHeight="1" x14ac:dyDescent="0.3">
      <c r="A59" s="52" t="s">
        <v>0</v>
      </c>
      <c r="B59" s="52" t="s">
        <v>38</v>
      </c>
      <c r="C59" s="52" t="s">
        <v>324</v>
      </c>
      <c r="D59" s="53" t="s">
        <v>61</v>
      </c>
      <c r="E59" s="53" t="s">
        <v>216</v>
      </c>
      <c r="F59" s="53" t="s">
        <v>153</v>
      </c>
      <c r="G59" s="53" t="s">
        <v>168</v>
      </c>
      <c r="H59" s="53" t="s">
        <v>166</v>
      </c>
      <c r="I59" s="53" t="s">
        <v>148</v>
      </c>
      <c r="J59" s="53" t="s">
        <v>529</v>
      </c>
      <c r="K59" s="53" t="s">
        <v>30</v>
      </c>
      <c r="L59" s="53" t="s">
        <v>329</v>
      </c>
      <c r="M59" s="53" t="s">
        <v>65</v>
      </c>
      <c r="N59" s="53" t="s">
        <v>3</v>
      </c>
      <c r="O59" s="53" t="s">
        <v>85</v>
      </c>
      <c r="P59" s="53" t="s">
        <v>251</v>
      </c>
      <c r="Q59" s="53" t="s">
        <v>208</v>
      </c>
      <c r="R59" s="53" t="s">
        <v>480</v>
      </c>
      <c r="S59" s="53" t="s">
        <v>480</v>
      </c>
      <c r="T59" s="53" t="s">
        <v>480</v>
      </c>
      <c r="U59" s="53" t="s">
        <v>480</v>
      </c>
      <c r="V59" s="53" t="s">
        <v>480</v>
      </c>
      <c r="W59" s="53" t="s">
        <v>480</v>
      </c>
      <c r="X59" s="53" t="s">
        <v>1</v>
      </c>
      <c r="Y59" s="53" t="s">
        <v>480</v>
      </c>
      <c r="Z59" s="53" t="s">
        <v>480</v>
      </c>
      <c r="AA59" s="53" t="s">
        <v>480</v>
      </c>
      <c r="AB59" s="53"/>
      <c r="AC59" s="53"/>
      <c r="AD59" s="53"/>
      <c r="AE59" s="53"/>
      <c r="AF59" s="53"/>
      <c r="AG59" s="53"/>
      <c r="AH59" s="53"/>
      <c r="AI59" s="53"/>
      <c r="AJ59" s="53"/>
      <c r="AK59" s="53"/>
    </row>
    <row r="60" spans="1:37" ht="133.19999999999999" customHeight="1" x14ac:dyDescent="0.3">
      <c r="A60" s="52" t="s">
        <v>217</v>
      </c>
      <c r="B60" s="52" t="s">
        <v>23</v>
      </c>
      <c r="C60" s="52" t="s">
        <v>324</v>
      </c>
      <c r="D60" s="53" t="s">
        <v>218</v>
      </c>
      <c r="E60" s="53" t="s">
        <v>219</v>
      </c>
      <c r="F60" s="53" t="s">
        <v>219</v>
      </c>
      <c r="G60" s="53" t="s">
        <v>220</v>
      </c>
      <c r="H60" s="53" t="s">
        <v>221</v>
      </c>
      <c r="I60" s="53" t="s">
        <v>148</v>
      </c>
      <c r="J60" s="53" t="s">
        <v>222</v>
      </c>
      <c r="K60" s="53" t="s">
        <v>30</v>
      </c>
      <c r="L60" s="53" t="s">
        <v>329</v>
      </c>
      <c r="M60" s="53" t="s">
        <v>65</v>
      </c>
      <c r="N60" s="53" t="s">
        <v>3</v>
      </c>
      <c r="O60" s="53" t="s">
        <v>85</v>
      </c>
      <c r="P60" s="53" t="s">
        <v>251</v>
      </c>
      <c r="Q60" s="53" t="s">
        <v>208</v>
      </c>
      <c r="R60" s="53" t="s">
        <v>480</v>
      </c>
      <c r="S60" s="53" t="s">
        <v>480</v>
      </c>
      <c r="T60" s="53" t="s">
        <v>480</v>
      </c>
      <c r="U60" s="53" t="s">
        <v>480</v>
      </c>
      <c r="V60" s="53" t="s">
        <v>480</v>
      </c>
      <c r="W60" s="53" t="s">
        <v>480</v>
      </c>
      <c r="X60" s="53" t="s">
        <v>1</v>
      </c>
      <c r="Y60" s="53" t="s">
        <v>480</v>
      </c>
      <c r="Z60" s="53" t="s">
        <v>480</v>
      </c>
      <c r="AA60" s="53" t="s">
        <v>480</v>
      </c>
      <c r="AB60" s="53"/>
      <c r="AC60" s="53"/>
      <c r="AD60" s="53"/>
      <c r="AE60" s="53"/>
      <c r="AF60" s="53"/>
      <c r="AG60" s="53"/>
      <c r="AH60" s="53"/>
      <c r="AI60" s="53"/>
      <c r="AJ60" s="53"/>
      <c r="AK60" s="53"/>
    </row>
    <row r="61" spans="1:37" ht="119.4" customHeight="1" x14ac:dyDescent="0.3">
      <c r="A61" s="52" t="s">
        <v>0</v>
      </c>
      <c r="B61" s="52" t="s">
        <v>38</v>
      </c>
      <c r="C61" s="52" t="s">
        <v>330</v>
      </c>
      <c r="D61" s="53" t="s">
        <v>223</v>
      </c>
      <c r="E61" s="53" t="s">
        <v>126</v>
      </c>
      <c r="F61" s="53" t="s">
        <v>224</v>
      </c>
      <c r="G61" s="53" t="s">
        <v>225</v>
      </c>
      <c r="H61" s="53" t="s">
        <v>261</v>
      </c>
      <c r="I61" s="53" t="s">
        <v>130</v>
      </c>
      <c r="J61" s="53" t="s">
        <v>131</v>
      </c>
      <c r="K61" s="53" t="s">
        <v>88</v>
      </c>
      <c r="L61" s="53" t="s">
        <v>331</v>
      </c>
      <c r="M61" s="53" t="s">
        <v>535</v>
      </c>
      <c r="N61" s="53" t="s">
        <v>3</v>
      </c>
      <c r="O61" s="53" t="s">
        <v>4</v>
      </c>
      <c r="P61" s="53" t="s">
        <v>251</v>
      </c>
      <c r="Q61" s="54" t="s">
        <v>91</v>
      </c>
      <c r="R61" s="53" t="s">
        <v>514</v>
      </c>
      <c r="S61" s="53" t="s">
        <v>481</v>
      </c>
      <c r="T61" s="54" t="s">
        <v>1</v>
      </c>
      <c r="U61" s="53" t="s">
        <v>1</v>
      </c>
      <c r="V61" s="53" t="s">
        <v>482</v>
      </c>
      <c r="W61" s="53" t="s">
        <v>515</v>
      </c>
      <c r="X61" s="53" t="s">
        <v>275</v>
      </c>
      <c r="Y61" s="53" t="s">
        <v>1</v>
      </c>
      <c r="Z61" s="53" t="s">
        <v>1</v>
      </c>
      <c r="AA61" s="53" t="s">
        <v>1</v>
      </c>
      <c r="AB61" s="53"/>
      <c r="AC61" s="53"/>
      <c r="AD61" s="53"/>
      <c r="AE61" s="53"/>
      <c r="AF61" s="53"/>
      <c r="AG61" s="53"/>
      <c r="AH61" s="53"/>
      <c r="AI61" s="53"/>
      <c r="AJ61" s="53"/>
      <c r="AK61" s="53"/>
    </row>
    <row r="62" spans="1:37" ht="85.2" customHeight="1" x14ac:dyDescent="0.3">
      <c r="A62" s="52" t="s">
        <v>0</v>
      </c>
      <c r="B62" s="52" t="s">
        <v>38</v>
      </c>
      <c r="C62" s="52" t="s">
        <v>330</v>
      </c>
      <c r="D62" s="53" t="s">
        <v>223</v>
      </c>
      <c r="E62" s="53" t="s">
        <v>126</v>
      </c>
      <c r="F62" s="53" t="s">
        <v>224</v>
      </c>
      <c r="G62" s="53" t="s">
        <v>225</v>
      </c>
      <c r="H62" s="53" t="s">
        <v>261</v>
      </c>
      <c r="I62" s="53" t="s">
        <v>130</v>
      </c>
      <c r="J62" s="53" t="s">
        <v>131</v>
      </c>
      <c r="K62" s="53" t="s">
        <v>66</v>
      </c>
      <c r="L62" s="53" t="s">
        <v>332</v>
      </c>
      <c r="M62" s="53" t="s">
        <v>67</v>
      </c>
      <c r="N62" s="53" t="s">
        <v>3</v>
      </c>
      <c r="O62" s="53" t="s">
        <v>85</v>
      </c>
      <c r="P62" s="53" t="s">
        <v>251</v>
      </c>
      <c r="Q62" s="54" t="s">
        <v>90</v>
      </c>
      <c r="R62" s="53" t="s">
        <v>483</v>
      </c>
      <c r="S62" s="53" t="s">
        <v>481</v>
      </c>
      <c r="T62" s="54" t="s">
        <v>1</v>
      </c>
      <c r="U62" s="53" t="s">
        <v>1</v>
      </c>
      <c r="V62" s="53" t="s">
        <v>484</v>
      </c>
      <c r="W62" s="53" t="s">
        <v>273</v>
      </c>
      <c r="X62" s="53" t="s">
        <v>275</v>
      </c>
      <c r="Y62" s="53" t="s">
        <v>1</v>
      </c>
      <c r="Z62" s="53" t="s">
        <v>1</v>
      </c>
      <c r="AA62" s="53" t="s">
        <v>1</v>
      </c>
      <c r="AB62" s="53"/>
      <c r="AC62" s="53"/>
      <c r="AD62" s="53"/>
      <c r="AE62" s="53"/>
      <c r="AF62" s="53"/>
      <c r="AG62" s="53"/>
      <c r="AH62" s="53"/>
      <c r="AI62" s="53"/>
      <c r="AJ62" s="53"/>
      <c r="AK62" s="53"/>
    </row>
    <row r="63" spans="1:37" ht="82.2" customHeight="1" x14ac:dyDescent="0.3">
      <c r="A63" s="52" t="s">
        <v>0</v>
      </c>
      <c r="B63" s="52" t="s">
        <v>38</v>
      </c>
      <c r="C63" s="52" t="s">
        <v>330</v>
      </c>
      <c r="D63" s="53" t="s">
        <v>223</v>
      </c>
      <c r="E63" s="53" t="s">
        <v>126</v>
      </c>
      <c r="F63" s="53" t="s">
        <v>224</v>
      </c>
      <c r="G63" s="53" t="s">
        <v>225</v>
      </c>
      <c r="H63" s="53" t="s">
        <v>261</v>
      </c>
      <c r="I63" s="53" t="s">
        <v>130</v>
      </c>
      <c r="J63" s="53" t="s">
        <v>131</v>
      </c>
      <c r="K63" s="53" t="s">
        <v>89</v>
      </c>
      <c r="L63" s="53" t="s">
        <v>333</v>
      </c>
      <c r="M63" s="53" t="s">
        <v>33</v>
      </c>
      <c r="N63" s="53" t="s">
        <v>3</v>
      </c>
      <c r="O63" s="53" t="s">
        <v>4</v>
      </c>
      <c r="P63" s="53" t="s">
        <v>251</v>
      </c>
      <c r="Q63" s="53" t="s">
        <v>91</v>
      </c>
      <c r="R63" s="53" t="s">
        <v>485</v>
      </c>
      <c r="S63" s="53" t="s">
        <v>481</v>
      </c>
      <c r="T63" s="54" t="s">
        <v>1</v>
      </c>
      <c r="U63" s="53" t="s">
        <v>1</v>
      </c>
      <c r="V63" s="53" t="s">
        <v>486</v>
      </c>
      <c r="W63" s="53" t="s">
        <v>516</v>
      </c>
      <c r="X63" s="53" t="s">
        <v>275</v>
      </c>
      <c r="Y63" s="53" t="s">
        <v>1</v>
      </c>
      <c r="Z63" s="53" t="s">
        <v>1</v>
      </c>
      <c r="AA63" s="53" t="s">
        <v>1</v>
      </c>
      <c r="AB63" s="53"/>
      <c r="AC63" s="53"/>
      <c r="AD63" s="53"/>
      <c r="AE63" s="53"/>
      <c r="AF63" s="53"/>
      <c r="AG63" s="53"/>
      <c r="AH63" s="53"/>
      <c r="AI63" s="53"/>
      <c r="AJ63" s="53"/>
      <c r="AK63" s="53"/>
    </row>
    <row r="64" spans="1:37" ht="133.19999999999999" customHeight="1" x14ac:dyDescent="0.3">
      <c r="A64" s="52" t="s">
        <v>0</v>
      </c>
      <c r="B64" s="52" t="s">
        <v>38</v>
      </c>
      <c r="C64" s="52" t="s">
        <v>334</v>
      </c>
      <c r="D64" s="53" t="s">
        <v>68</v>
      </c>
      <c r="E64" s="53" t="s">
        <v>126</v>
      </c>
      <c r="F64" s="53" t="s">
        <v>133</v>
      </c>
      <c r="G64" s="53" t="s">
        <v>165</v>
      </c>
      <c r="H64" s="53" t="s">
        <v>166</v>
      </c>
      <c r="I64" s="53" t="s">
        <v>148</v>
      </c>
      <c r="J64" s="53" t="s">
        <v>529</v>
      </c>
      <c r="K64" s="53" t="s">
        <v>511</v>
      </c>
      <c r="L64" s="53" t="s">
        <v>335</v>
      </c>
      <c r="M64" s="53" t="s">
        <v>536</v>
      </c>
      <c r="N64" s="53" t="s">
        <v>3</v>
      </c>
      <c r="O64" s="53" t="s">
        <v>85</v>
      </c>
      <c r="P64" s="53" t="s">
        <v>251</v>
      </c>
      <c r="Q64" s="53" t="s">
        <v>90</v>
      </c>
      <c r="R64" s="53" t="s">
        <v>377</v>
      </c>
      <c r="S64" s="53" t="s">
        <v>377</v>
      </c>
      <c r="T64" s="53" t="s">
        <v>377</v>
      </c>
      <c r="U64" s="53" t="s">
        <v>377</v>
      </c>
      <c r="V64" s="53" t="s">
        <v>377</v>
      </c>
      <c r="W64" s="53" t="s">
        <v>377</v>
      </c>
      <c r="X64" s="53" t="s">
        <v>275</v>
      </c>
      <c r="Y64" s="53" t="s">
        <v>377</v>
      </c>
      <c r="Z64" s="53" t="s">
        <v>377</v>
      </c>
      <c r="AA64" s="53" t="s">
        <v>377</v>
      </c>
      <c r="AB64" s="53"/>
      <c r="AC64" s="53"/>
      <c r="AD64" s="53"/>
      <c r="AE64" s="53"/>
      <c r="AF64" s="53"/>
      <c r="AG64" s="53"/>
      <c r="AH64" s="53"/>
      <c r="AI64" s="53"/>
      <c r="AJ64" s="53"/>
      <c r="AK64" s="53"/>
    </row>
    <row r="65" spans="1:37" ht="133.19999999999999" customHeight="1" x14ac:dyDescent="0.3">
      <c r="A65" s="52" t="s">
        <v>0</v>
      </c>
      <c r="B65" s="52" t="s">
        <v>38</v>
      </c>
      <c r="C65" s="52" t="s">
        <v>334</v>
      </c>
      <c r="D65" s="53" t="s">
        <v>68</v>
      </c>
      <c r="E65" s="53" t="s">
        <v>126</v>
      </c>
      <c r="F65" s="53" t="s">
        <v>133</v>
      </c>
      <c r="G65" s="53" t="s">
        <v>165</v>
      </c>
      <c r="H65" s="53" t="s">
        <v>166</v>
      </c>
      <c r="I65" s="53" t="s">
        <v>148</v>
      </c>
      <c r="J65" s="53" t="s">
        <v>529</v>
      </c>
      <c r="K65" s="53" t="s">
        <v>487</v>
      </c>
      <c r="L65" s="53" t="s">
        <v>336</v>
      </c>
      <c r="M65" s="53" t="s">
        <v>97</v>
      </c>
      <c r="N65" s="53" t="s">
        <v>3</v>
      </c>
      <c r="O65" s="53" t="s">
        <v>4</v>
      </c>
      <c r="P65" s="53" t="s">
        <v>251</v>
      </c>
      <c r="Q65" s="53" t="s">
        <v>91</v>
      </c>
      <c r="R65" s="53" t="s">
        <v>488</v>
      </c>
      <c r="S65" s="53" t="s">
        <v>1</v>
      </c>
      <c r="T65" s="54" t="s">
        <v>1</v>
      </c>
      <c r="U65" s="53" t="s">
        <v>241</v>
      </c>
      <c r="V65" s="53" t="s">
        <v>1</v>
      </c>
      <c r="W65" s="53" t="s">
        <v>245</v>
      </c>
      <c r="X65" s="53" t="s">
        <v>275</v>
      </c>
      <c r="Y65" s="53" t="s">
        <v>1</v>
      </c>
      <c r="Z65" s="53" t="s">
        <v>1</v>
      </c>
      <c r="AA65" s="53" t="s">
        <v>1</v>
      </c>
      <c r="AB65" s="53"/>
      <c r="AC65" s="53"/>
      <c r="AD65" s="53"/>
      <c r="AE65" s="53"/>
      <c r="AF65" s="53"/>
      <c r="AG65" s="53"/>
      <c r="AH65" s="53"/>
      <c r="AI65" s="53"/>
      <c r="AJ65" s="53"/>
      <c r="AK65" s="53"/>
    </row>
    <row r="66" spans="1:37" ht="104.25" customHeight="1" x14ac:dyDescent="0.3">
      <c r="A66" s="52" t="s">
        <v>0</v>
      </c>
      <c r="B66" s="52" t="s">
        <v>38</v>
      </c>
      <c r="C66" s="52" t="s">
        <v>334</v>
      </c>
      <c r="D66" s="53" t="s">
        <v>68</v>
      </c>
      <c r="E66" s="53" t="s">
        <v>126</v>
      </c>
      <c r="F66" s="53" t="s">
        <v>133</v>
      </c>
      <c r="G66" s="53" t="s">
        <v>165</v>
      </c>
      <c r="H66" s="53" t="s">
        <v>166</v>
      </c>
      <c r="I66" s="53" t="s">
        <v>148</v>
      </c>
      <c r="J66" s="53" t="s">
        <v>529</v>
      </c>
      <c r="K66" s="53" t="s">
        <v>489</v>
      </c>
      <c r="L66" s="53" t="s">
        <v>337</v>
      </c>
      <c r="M66" s="53" t="s">
        <v>115</v>
      </c>
      <c r="N66" s="53" t="s">
        <v>3</v>
      </c>
      <c r="O66" s="53" t="s">
        <v>4</v>
      </c>
      <c r="P66" s="53" t="s">
        <v>251</v>
      </c>
      <c r="Q66" s="53" t="s">
        <v>90</v>
      </c>
      <c r="R66" s="53" t="s">
        <v>490</v>
      </c>
      <c r="S66" s="53" t="s">
        <v>491</v>
      </c>
      <c r="T66" s="54" t="s">
        <v>1</v>
      </c>
      <c r="U66" s="53" t="s">
        <v>241</v>
      </c>
      <c r="V66" s="53" t="s">
        <v>492</v>
      </c>
      <c r="W66" s="53" t="s">
        <v>479</v>
      </c>
      <c r="X66" s="53" t="s">
        <v>275</v>
      </c>
      <c r="Y66" s="53" t="s">
        <v>1</v>
      </c>
      <c r="Z66" s="53" t="s">
        <v>1</v>
      </c>
      <c r="AA66" s="53" t="s">
        <v>1</v>
      </c>
      <c r="AB66" s="53"/>
      <c r="AC66" s="53"/>
      <c r="AD66" s="53"/>
      <c r="AE66" s="53"/>
      <c r="AF66" s="53"/>
      <c r="AG66" s="53"/>
      <c r="AH66" s="53"/>
      <c r="AI66" s="53"/>
      <c r="AJ66" s="53"/>
      <c r="AK66" s="53"/>
    </row>
    <row r="67" spans="1:37" ht="94.2" customHeight="1" x14ac:dyDescent="0.3">
      <c r="A67" s="52" t="s">
        <v>0</v>
      </c>
      <c r="B67" s="52" t="s">
        <v>38</v>
      </c>
      <c r="C67" s="52" t="s">
        <v>334</v>
      </c>
      <c r="D67" s="53" t="s">
        <v>68</v>
      </c>
      <c r="E67" s="53" t="s">
        <v>126</v>
      </c>
      <c r="F67" s="53" t="s">
        <v>133</v>
      </c>
      <c r="G67" s="53" t="s">
        <v>165</v>
      </c>
      <c r="H67" s="53" t="s">
        <v>166</v>
      </c>
      <c r="I67" s="53" t="s">
        <v>148</v>
      </c>
      <c r="J67" s="53" t="s">
        <v>529</v>
      </c>
      <c r="K67" s="53" t="s">
        <v>489</v>
      </c>
      <c r="L67" s="53" t="s">
        <v>338</v>
      </c>
      <c r="M67" s="53" t="s">
        <v>98</v>
      </c>
      <c r="N67" s="53" t="s">
        <v>3</v>
      </c>
      <c r="O67" s="53" t="s">
        <v>85</v>
      </c>
      <c r="P67" s="53" t="s">
        <v>251</v>
      </c>
      <c r="Q67" s="53" t="s">
        <v>90</v>
      </c>
      <c r="R67" s="69" t="s">
        <v>556</v>
      </c>
      <c r="S67" s="53" t="s">
        <v>491</v>
      </c>
      <c r="T67" s="54" t="s">
        <v>1</v>
      </c>
      <c r="U67" s="53" t="s">
        <v>241</v>
      </c>
      <c r="V67" s="53" t="s">
        <v>493</v>
      </c>
      <c r="W67" s="53" t="s">
        <v>245</v>
      </c>
      <c r="X67" s="53" t="s">
        <v>1</v>
      </c>
      <c r="Y67" s="69" t="s">
        <v>557</v>
      </c>
      <c r="Z67" s="69" t="s">
        <v>558</v>
      </c>
      <c r="AA67" s="70" t="s">
        <v>549</v>
      </c>
      <c r="AB67" s="53"/>
      <c r="AC67" s="53"/>
      <c r="AD67" s="53"/>
      <c r="AE67" s="53"/>
      <c r="AF67" s="53"/>
      <c r="AG67" s="53"/>
      <c r="AH67" s="53"/>
      <c r="AI67" s="53"/>
      <c r="AJ67" s="53"/>
      <c r="AK67" s="53"/>
    </row>
    <row r="68" spans="1:37" ht="133.19999999999999" customHeight="1" x14ac:dyDescent="0.3">
      <c r="A68" s="52" t="s">
        <v>0</v>
      </c>
      <c r="B68" s="52" t="s">
        <v>38</v>
      </c>
      <c r="C68" s="52" t="s">
        <v>334</v>
      </c>
      <c r="D68" s="53" t="s">
        <v>68</v>
      </c>
      <c r="E68" s="53" t="s">
        <v>126</v>
      </c>
      <c r="F68" s="53" t="s">
        <v>133</v>
      </c>
      <c r="G68" s="53" t="s">
        <v>165</v>
      </c>
      <c r="H68" s="53" t="s">
        <v>154</v>
      </c>
      <c r="I68" s="53" t="s">
        <v>148</v>
      </c>
      <c r="J68" s="53" t="s">
        <v>529</v>
      </c>
      <c r="K68" s="53" t="s">
        <v>31</v>
      </c>
      <c r="L68" s="53" t="s">
        <v>339</v>
      </c>
      <c r="M68" s="53" t="s">
        <v>69</v>
      </c>
      <c r="N68" s="53" t="s">
        <v>3</v>
      </c>
      <c r="O68" s="53" t="s">
        <v>4</v>
      </c>
      <c r="P68" s="53" t="s">
        <v>251</v>
      </c>
      <c r="Q68" s="53" t="s">
        <v>91</v>
      </c>
      <c r="R68" s="53" t="s">
        <v>494</v>
      </c>
      <c r="S68" s="53" t="s">
        <v>491</v>
      </c>
      <c r="T68" s="54" t="s">
        <v>1</v>
      </c>
      <c r="U68" s="53" t="s">
        <v>1</v>
      </c>
      <c r="V68" s="53" t="s">
        <v>493</v>
      </c>
      <c r="W68" s="53" t="s">
        <v>245</v>
      </c>
      <c r="X68" s="53" t="s">
        <v>275</v>
      </c>
      <c r="Y68" s="53" t="s">
        <v>1</v>
      </c>
      <c r="Z68" s="53" t="s">
        <v>1</v>
      </c>
      <c r="AA68" s="53" t="s">
        <v>1</v>
      </c>
      <c r="AB68" s="53"/>
      <c r="AC68" s="53"/>
      <c r="AD68" s="53"/>
      <c r="AE68" s="53"/>
      <c r="AF68" s="53"/>
      <c r="AG68" s="53"/>
      <c r="AH68" s="53"/>
      <c r="AI68" s="53"/>
      <c r="AJ68" s="53"/>
      <c r="AK68" s="53"/>
    </row>
    <row r="69" spans="1:37" ht="133.19999999999999" customHeight="1" x14ac:dyDescent="0.3">
      <c r="A69" s="52" t="s">
        <v>0</v>
      </c>
      <c r="B69" s="52" t="s">
        <v>38</v>
      </c>
      <c r="C69" s="52" t="s">
        <v>334</v>
      </c>
      <c r="D69" s="53" t="s">
        <v>68</v>
      </c>
      <c r="E69" s="53" t="s">
        <v>126</v>
      </c>
      <c r="F69" s="53" t="s">
        <v>136</v>
      </c>
      <c r="G69" s="53" t="s">
        <v>226</v>
      </c>
      <c r="H69" s="53" t="s">
        <v>227</v>
      </c>
      <c r="I69" s="53" t="s">
        <v>130</v>
      </c>
      <c r="J69" s="53" t="s">
        <v>131</v>
      </c>
      <c r="K69" s="53" t="s">
        <v>37</v>
      </c>
      <c r="L69" s="53" t="s">
        <v>340</v>
      </c>
      <c r="M69" s="53" t="s">
        <v>70</v>
      </c>
      <c r="N69" s="53" t="s">
        <v>3</v>
      </c>
      <c r="O69" s="53" t="s">
        <v>4</v>
      </c>
      <c r="P69" s="53" t="s">
        <v>251</v>
      </c>
      <c r="Q69" s="53" t="s">
        <v>90</v>
      </c>
      <c r="R69" s="53" t="s">
        <v>495</v>
      </c>
      <c r="S69" s="53" t="s">
        <v>491</v>
      </c>
      <c r="T69" s="54" t="s">
        <v>1</v>
      </c>
      <c r="U69" s="53" t="s">
        <v>241</v>
      </c>
      <c r="V69" s="53" t="s">
        <v>496</v>
      </c>
      <c r="W69" s="53" t="s">
        <v>497</v>
      </c>
      <c r="X69" s="53" t="s">
        <v>275</v>
      </c>
      <c r="Y69" s="53" t="s">
        <v>1</v>
      </c>
      <c r="Z69" s="53" t="s">
        <v>1</v>
      </c>
      <c r="AA69" s="53" t="s">
        <v>1</v>
      </c>
      <c r="AB69" s="53"/>
      <c r="AC69" s="53"/>
      <c r="AD69" s="53"/>
      <c r="AE69" s="53"/>
      <c r="AF69" s="53"/>
      <c r="AG69" s="53"/>
      <c r="AH69" s="53"/>
      <c r="AI69" s="53"/>
      <c r="AJ69" s="53"/>
      <c r="AK69" s="53"/>
    </row>
    <row r="70" spans="1:37" ht="133.19999999999999" customHeight="1" x14ac:dyDescent="0.3">
      <c r="A70" s="52" t="s">
        <v>0</v>
      </c>
      <c r="B70" s="52" t="s">
        <v>38</v>
      </c>
      <c r="C70" s="52" t="s">
        <v>334</v>
      </c>
      <c r="D70" s="53" t="s">
        <v>68</v>
      </c>
      <c r="E70" s="53" t="s">
        <v>126</v>
      </c>
      <c r="F70" s="53" t="s">
        <v>133</v>
      </c>
      <c r="G70" s="53" t="s">
        <v>165</v>
      </c>
      <c r="H70" s="53" t="s">
        <v>154</v>
      </c>
      <c r="I70" s="53" t="s">
        <v>148</v>
      </c>
      <c r="J70" s="53" t="s">
        <v>529</v>
      </c>
      <c r="K70" s="53" t="s">
        <v>71</v>
      </c>
      <c r="L70" s="53" t="s">
        <v>341</v>
      </c>
      <c r="M70" s="53" t="s">
        <v>228</v>
      </c>
      <c r="N70" s="53" t="s">
        <v>3</v>
      </c>
      <c r="O70" s="53" t="s">
        <v>4</v>
      </c>
      <c r="P70" s="53" t="s">
        <v>251</v>
      </c>
      <c r="Q70" s="53" t="s">
        <v>90</v>
      </c>
      <c r="R70" s="53" t="s">
        <v>537</v>
      </c>
      <c r="S70" s="53" t="s">
        <v>491</v>
      </c>
      <c r="T70" s="54" t="s">
        <v>1</v>
      </c>
      <c r="U70" s="53" t="s">
        <v>241</v>
      </c>
      <c r="V70" s="53" t="s">
        <v>498</v>
      </c>
      <c r="W70" s="53" t="s">
        <v>499</v>
      </c>
      <c r="X70" s="53" t="s">
        <v>275</v>
      </c>
      <c r="Y70" s="53" t="s">
        <v>1</v>
      </c>
      <c r="Z70" s="53" t="s">
        <v>1</v>
      </c>
      <c r="AA70" s="53" t="s">
        <v>1</v>
      </c>
      <c r="AB70" s="53"/>
      <c r="AC70" s="53"/>
      <c r="AD70" s="53"/>
      <c r="AE70" s="53"/>
      <c r="AF70" s="53"/>
      <c r="AG70" s="53"/>
      <c r="AH70" s="53"/>
      <c r="AI70" s="53"/>
      <c r="AJ70" s="53"/>
      <c r="AK70" s="53"/>
    </row>
    <row r="71" spans="1:37" ht="133.19999999999999" customHeight="1" x14ac:dyDescent="0.3">
      <c r="A71" s="52" t="s">
        <v>0</v>
      </c>
      <c r="B71" s="52" t="s">
        <v>38</v>
      </c>
      <c r="C71" s="52" t="s">
        <v>334</v>
      </c>
      <c r="D71" s="53" t="s">
        <v>68</v>
      </c>
      <c r="E71" s="53" t="s">
        <v>126</v>
      </c>
      <c r="F71" s="53" t="s">
        <v>133</v>
      </c>
      <c r="G71" s="53" t="s">
        <v>165</v>
      </c>
      <c r="H71" s="53" t="s">
        <v>154</v>
      </c>
      <c r="I71" s="53" t="s">
        <v>148</v>
      </c>
      <c r="J71" s="53" t="s">
        <v>229</v>
      </c>
      <c r="K71" s="53" t="s">
        <v>538</v>
      </c>
      <c r="L71" s="53" t="s">
        <v>342</v>
      </c>
      <c r="M71" s="53" t="s">
        <v>539</v>
      </c>
      <c r="N71" s="53" t="s">
        <v>3</v>
      </c>
      <c r="O71" s="53" t="s">
        <v>4</v>
      </c>
      <c r="P71" s="53" t="s">
        <v>251</v>
      </c>
      <c r="Q71" s="53" t="s">
        <v>90</v>
      </c>
      <c r="R71" s="53" t="s">
        <v>500</v>
      </c>
      <c r="S71" s="53" t="s">
        <v>491</v>
      </c>
      <c r="T71" s="54" t="s">
        <v>1</v>
      </c>
      <c r="U71" s="54" t="s">
        <v>1</v>
      </c>
      <c r="V71" s="53" t="s">
        <v>501</v>
      </c>
      <c r="W71" s="53" t="s">
        <v>363</v>
      </c>
      <c r="X71" s="53" t="s">
        <v>275</v>
      </c>
      <c r="Y71" s="53" t="s">
        <v>1</v>
      </c>
      <c r="Z71" s="53" t="s">
        <v>1</v>
      </c>
      <c r="AA71" s="53" t="s">
        <v>1</v>
      </c>
      <c r="AB71" s="53"/>
      <c r="AC71" s="53"/>
      <c r="AD71" s="53"/>
      <c r="AE71" s="53"/>
      <c r="AF71" s="53"/>
      <c r="AG71" s="53"/>
      <c r="AH71" s="53"/>
      <c r="AI71" s="53"/>
      <c r="AJ71" s="53"/>
      <c r="AK71" s="53"/>
    </row>
    <row r="72" spans="1:37" ht="133.19999999999999" customHeight="1" x14ac:dyDescent="0.3">
      <c r="A72" s="52" t="s">
        <v>0</v>
      </c>
      <c r="B72" s="52" t="s">
        <v>38</v>
      </c>
      <c r="C72" s="52" t="s">
        <v>343</v>
      </c>
      <c r="D72" s="53" t="s">
        <v>72</v>
      </c>
      <c r="E72" s="53" t="s">
        <v>156</v>
      </c>
      <c r="F72" s="53" t="s">
        <v>230</v>
      </c>
      <c r="G72" s="53" t="s">
        <v>231</v>
      </c>
      <c r="H72" s="53" t="s">
        <v>232</v>
      </c>
      <c r="I72" s="53" t="s">
        <v>130</v>
      </c>
      <c r="J72" s="53" t="s">
        <v>131</v>
      </c>
      <c r="K72" s="53" t="s">
        <v>36</v>
      </c>
      <c r="L72" s="53" t="s">
        <v>344</v>
      </c>
      <c r="M72" s="53" t="s">
        <v>233</v>
      </c>
      <c r="N72" s="53" t="s">
        <v>3</v>
      </c>
      <c r="O72" s="53" t="s">
        <v>4</v>
      </c>
      <c r="P72" s="53" t="s">
        <v>251</v>
      </c>
      <c r="Q72" s="53" t="s">
        <v>208</v>
      </c>
      <c r="R72" s="53" t="s">
        <v>502</v>
      </c>
      <c r="S72" s="53" t="s">
        <v>503</v>
      </c>
      <c r="T72" s="54" t="s">
        <v>1</v>
      </c>
      <c r="U72" s="54" t="s">
        <v>1</v>
      </c>
      <c r="V72" s="56" t="s">
        <v>357</v>
      </c>
      <c r="W72" s="53" t="s">
        <v>271</v>
      </c>
      <c r="X72" s="53" t="s">
        <v>275</v>
      </c>
      <c r="Y72" s="53" t="s">
        <v>1</v>
      </c>
      <c r="Z72" s="53" t="s">
        <v>1</v>
      </c>
      <c r="AA72" s="53" t="s">
        <v>1</v>
      </c>
      <c r="AB72" s="53"/>
      <c r="AC72" s="53"/>
      <c r="AD72" s="53"/>
      <c r="AE72" s="53"/>
      <c r="AF72" s="53"/>
      <c r="AG72" s="53"/>
      <c r="AH72" s="53"/>
      <c r="AI72" s="53"/>
      <c r="AJ72" s="53"/>
      <c r="AK72" s="53"/>
    </row>
    <row r="73" spans="1:37" ht="60.6" customHeight="1" x14ac:dyDescent="0.3">
      <c r="A73" s="52" t="s">
        <v>0</v>
      </c>
      <c r="B73" s="52" t="s">
        <v>38</v>
      </c>
      <c r="C73" s="52" t="s">
        <v>343</v>
      </c>
      <c r="D73" s="53" t="s">
        <v>72</v>
      </c>
      <c r="E73" s="53" t="s">
        <v>156</v>
      </c>
      <c r="F73" s="53" t="s">
        <v>230</v>
      </c>
      <c r="G73" s="53" t="s">
        <v>231</v>
      </c>
      <c r="H73" s="53" t="s">
        <v>232</v>
      </c>
      <c r="I73" s="53" t="s">
        <v>130</v>
      </c>
      <c r="J73" s="53" t="s">
        <v>131</v>
      </c>
      <c r="K73" s="53" t="s">
        <v>36</v>
      </c>
      <c r="L73" s="53" t="s">
        <v>345</v>
      </c>
      <c r="M73" s="53" t="s">
        <v>73</v>
      </c>
      <c r="N73" s="53" t="s">
        <v>3</v>
      </c>
      <c r="O73" s="53" t="s">
        <v>4</v>
      </c>
      <c r="P73" s="53" t="s">
        <v>251</v>
      </c>
      <c r="Q73" s="53" t="s">
        <v>234</v>
      </c>
      <c r="R73" s="53" t="s">
        <v>504</v>
      </c>
      <c r="S73" s="53" t="s">
        <v>505</v>
      </c>
      <c r="T73" s="53" t="s">
        <v>505</v>
      </c>
      <c r="U73" s="53" t="s">
        <v>505</v>
      </c>
      <c r="V73" s="53" t="s">
        <v>505</v>
      </c>
      <c r="W73" s="53" t="s">
        <v>505</v>
      </c>
      <c r="X73" s="53" t="s">
        <v>275</v>
      </c>
      <c r="Y73" s="53" t="s">
        <v>505</v>
      </c>
      <c r="Z73" s="53" t="s">
        <v>505</v>
      </c>
      <c r="AA73" s="53" t="s">
        <v>505</v>
      </c>
      <c r="AB73" s="53"/>
      <c r="AC73" s="53"/>
      <c r="AD73" s="53"/>
      <c r="AE73" s="53"/>
      <c r="AF73" s="53"/>
      <c r="AG73" s="53"/>
      <c r="AH73" s="53"/>
      <c r="AI73" s="53"/>
      <c r="AJ73" s="53"/>
      <c r="AK73" s="53"/>
    </row>
    <row r="74" spans="1:37" ht="72" customHeight="1" x14ac:dyDescent="0.3">
      <c r="A74" s="52" t="s">
        <v>0</v>
      </c>
      <c r="B74" s="52" t="s">
        <v>38</v>
      </c>
      <c r="C74" s="52" t="s">
        <v>343</v>
      </c>
      <c r="D74" s="53" t="s">
        <v>72</v>
      </c>
      <c r="E74" s="53" t="s">
        <v>126</v>
      </c>
      <c r="F74" s="53" t="s">
        <v>133</v>
      </c>
      <c r="G74" s="53" t="s">
        <v>209</v>
      </c>
      <c r="H74" s="53" t="s">
        <v>210</v>
      </c>
      <c r="I74" s="53" t="s">
        <v>187</v>
      </c>
      <c r="J74" s="53" t="s">
        <v>131</v>
      </c>
      <c r="K74" s="53" t="s">
        <v>36</v>
      </c>
      <c r="L74" s="53" t="s">
        <v>346</v>
      </c>
      <c r="M74" s="53" t="s">
        <v>74</v>
      </c>
      <c r="N74" s="53" t="s">
        <v>3</v>
      </c>
      <c r="O74" s="53" t="s">
        <v>4</v>
      </c>
      <c r="P74" s="53" t="s">
        <v>251</v>
      </c>
      <c r="Q74" s="53" t="s">
        <v>90</v>
      </c>
      <c r="R74" s="53" t="s">
        <v>506</v>
      </c>
      <c r="S74" s="53" t="s">
        <v>507</v>
      </c>
      <c r="T74" s="53" t="s">
        <v>507</v>
      </c>
      <c r="U74" s="53" t="s">
        <v>507</v>
      </c>
      <c r="V74" s="53" t="s">
        <v>507</v>
      </c>
      <c r="W74" s="53" t="s">
        <v>507</v>
      </c>
      <c r="X74" s="53" t="s">
        <v>275</v>
      </c>
      <c r="Y74" s="53" t="s">
        <v>507</v>
      </c>
      <c r="Z74" s="53" t="s">
        <v>507</v>
      </c>
      <c r="AA74" s="53" t="s">
        <v>507</v>
      </c>
      <c r="AB74" s="53"/>
      <c r="AC74" s="53"/>
      <c r="AD74" s="53"/>
      <c r="AE74" s="53"/>
      <c r="AF74" s="53"/>
      <c r="AG74" s="53"/>
      <c r="AH74" s="53"/>
      <c r="AI74" s="53"/>
      <c r="AJ74" s="53"/>
      <c r="AK74" s="53"/>
    </row>
    <row r="75" spans="1:37" s="7" customFormat="1" ht="133.19999999999999" customHeight="1" x14ac:dyDescent="0.3">
      <c r="A75" s="52" t="s">
        <v>0</v>
      </c>
      <c r="B75" s="52" t="s">
        <v>38</v>
      </c>
      <c r="C75" s="52" t="s">
        <v>347</v>
      </c>
      <c r="D75" s="53" t="s">
        <v>75</v>
      </c>
      <c r="E75" s="53" t="s">
        <v>126</v>
      </c>
      <c r="F75" s="53" t="s">
        <v>133</v>
      </c>
      <c r="G75" s="53" t="s">
        <v>134</v>
      </c>
      <c r="H75" s="53" t="s">
        <v>235</v>
      </c>
      <c r="I75" s="53" t="s">
        <v>130</v>
      </c>
      <c r="J75" s="53" t="s">
        <v>131</v>
      </c>
      <c r="K75" s="53" t="s">
        <v>32</v>
      </c>
      <c r="L75" s="53" t="s">
        <v>348</v>
      </c>
      <c r="M75" s="53" t="s">
        <v>76</v>
      </c>
      <c r="N75" s="53" t="s">
        <v>3</v>
      </c>
      <c r="O75" s="53" t="s">
        <v>4</v>
      </c>
      <c r="P75" s="53" t="s">
        <v>251</v>
      </c>
      <c r="Q75" s="53" t="s">
        <v>95</v>
      </c>
      <c r="R75" s="53" t="s">
        <v>562</v>
      </c>
      <c r="S75" s="53" t="s">
        <v>1</v>
      </c>
      <c r="T75" s="54" t="s">
        <v>1</v>
      </c>
      <c r="U75" s="54" t="s">
        <v>1</v>
      </c>
      <c r="V75" s="53" t="s">
        <v>517</v>
      </c>
      <c r="W75" s="53" t="s">
        <v>508</v>
      </c>
      <c r="X75" s="53" t="s">
        <v>275</v>
      </c>
      <c r="Y75" s="53" t="s">
        <v>1</v>
      </c>
      <c r="Z75" s="53" t="s">
        <v>1</v>
      </c>
      <c r="AA75" s="53" t="s">
        <v>1</v>
      </c>
      <c r="AB75" s="53"/>
      <c r="AC75" s="53"/>
      <c r="AD75" s="53"/>
      <c r="AE75" s="53"/>
      <c r="AF75" s="53"/>
      <c r="AG75" s="53"/>
      <c r="AH75" s="53"/>
      <c r="AI75" s="53"/>
      <c r="AJ75" s="53"/>
      <c r="AK75" s="53"/>
    </row>
  </sheetData>
  <autoFilter ref="A2:AK75" xr:uid="{00000000-0009-0000-0000-000002000000}"/>
  <mergeCells count="6">
    <mergeCell ref="AG1:AK1"/>
    <mergeCell ref="P1:AA1"/>
    <mergeCell ref="A1:D1"/>
    <mergeCell ref="E1:J1"/>
    <mergeCell ref="K1:O1"/>
    <mergeCell ref="AB1:AF1"/>
  </mergeCells>
  <phoneticPr fontId="5" type="noConversion"/>
  <pageMargins left="0.7" right="0.7" top="0.75" bottom="0.75" header="0.3" footer="0.3"/>
  <pageSetup paperSize="9" orientation="portrait" r:id="rId1"/>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2</vt:i4>
      </vt:variant>
    </vt:vector>
  </HeadingPairs>
  <TitlesOfParts>
    <vt:vector size="5" baseType="lpstr">
      <vt:lpstr>封面</vt:lpstr>
      <vt:lpstr>文件資訊</vt:lpstr>
      <vt:lpstr>RCM_銷售及收款循環</vt:lpstr>
      <vt:lpstr>文件資訊!Print_Area</vt:lpstr>
      <vt:lpstr>封面!Print_Area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2022-09-04T18:34:53Z</dcterms:created>
  <dcterms:modified xsi:type="dcterms:W3CDTF">2025-11-11T06:13:15Z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2022-09-04T18:35:14Z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33598b94-4c88-4af8-b3ea-2364350ba12d</vt:lpwstr>
  </property>
  <property fmtid="{D5CDD505-2E9C-101B-9397-08002B2CF9AE}" pid="8" name="MSIP_Label_ea60d57e-af5b-4752-ac57-3e4f28ca11dc_ContentBits">
    <vt:lpwstr>0</vt:lpwstr>
  </property>
</Properties>
</file>